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42a8070d1eed54/Desktop/Excel revision/Excel assignments/"/>
    </mc:Choice>
  </mc:AlternateContent>
  <xr:revisionPtr revIDLastSave="1" documentId="11_2908514A96E3A45A92D1580D7ACE61FBE4C9E02E" xr6:coauthVersionLast="47" xr6:coauthVersionMax="47" xr10:uidLastSave="{76A1A6ED-7376-49ED-A598-26B0ACED182B}"/>
  <bookViews>
    <workbookView xWindow="-108" yWindow="-108" windowWidth="23256" windowHeight="12456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 a="1"/>
  <c r="V5" i="2" s="1"/>
  <c r="V6" i="2" a="1"/>
  <c r="V6" i="2"/>
  <c r="V7" i="2" a="1"/>
  <c r="V7" i="2" s="1"/>
  <c r="V8" i="2" a="1"/>
  <c r="V8" i="2"/>
  <c r="V9" i="2" a="1"/>
  <c r="V9" i="2" s="1"/>
  <c r="V10" i="2" a="1"/>
  <c r="V10" i="2"/>
  <c r="V11" i="2" a="1"/>
  <c r="V11" i="2" s="1"/>
  <c r="V12" i="2" a="1"/>
  <c r="V12" i="2"/>
  <c r="V13" i="2" a="1"/>
  <c r="V13" i="2" s="1"/>
  <c r="V14" i="2" a="1"/>
  <c r="V14" i="2"/>
  <c r="V15" i="2" a="1"/>
  <c r="V15" i="2" s="1"/>
  <c r="V16" i="2" a="1"/>
  <c r="V16" i="2"/>
  <c r="V17" i="2" a="1"/>
  <c r="V17" i="2" s="1"/>
  <c r="V18" i="2" a="1"/>
  <c r="V18" i="2"/>
  <c r="V19" i="2" a="1"/>
  <c r="V19" i="2" s="1"/>
  <c r="V20" i="2" a="1"/>
  <c r="V20" i="2"/>
  <c r="V21" i="2" a="1"/>
  <c r="V21" i="2" s="1"/>
  <c r="V22" i="2" a="1"/>
  <c r="V22" i="2"/>
  <c r="V23" i="2" a="1"/>
  <c r="V23" i="2" s="1"/>
  <c r="V24" i="2" a="1"/>
  <c r="V24" i="2"/>
  <c r="V25" i="2" a="1"/>
  <c r="V25" i="2" s="1"/>
  <c r="V26" i="2" a="1"/>
  <c r="V26" i="2"/>
  <c r="V27" i="2" a="1"/>
  <c r="V27" i="2" s="1"/>
  <c r="V28" i="2" a="1"/>
  <c r="V28" i="2"/>
  <c r="V29" i="2" a="1"/>
  <c r="V29" i="2" s="1"/>
  <c r="V30" i="2" a="1"/>
  <c r="V30" i="2"/>
  <c r="V31" i="2" a="1"/>
  <c r="V31" i="2" s="1"/>
  <c r="V32" i="2" a="1"/>
  <c r="V32" i="2"/>
  <c r="V33" i="2" a="1"/>
  <c r="V33" i="2" s="1"/>
  <c r="V34" i="2" a="1"/>
  <c r="V34" i="2"/>
  <c r="V35" i="2" a="1"/>
  <c r="V35" i="2" s="1"/>
  <c r="V36" i="2" a="1"/>
  <c r="V36" i="2"/>
  <c r="V37" i="2" a="1"/>
  <c r="V37" i="2" s="1"/>
  <c r="V38" i="2" a="1"/>
  <c r="V38" i="2"/>
  <c r="V39" i="2" a="1"/>
  <c r="V39" i="2" s="1"/>
  <c r="V40" i="2" a="1"/>
  <c r="V40" i="2"/>
  <c r="V41" i="2" a="1"/>
  <c r="V41" i="2" s="1"/>
  <c r="V42" i="2" a="1"/>
  <c r="V42" i="2"/>
  <c r="V43" i="2" a="1"/>
  <c r="V43" i="2" s="1"/>
  <c r="V44" i="2" a="1"/>
  <c r="V44" i="2"/>
  <c r="V45" i="2" a="1"/>
  <c r="V45" i="2" s="1"/>
  <c r="V46" i="2" a="1"/>
  <c r="V46" i="2"/>
  <c r="V47" i="2" a="1"/>
  <c r="V47" i="2" s="1"/>
  <c r="V48" i="2" a="1"/>
  <c r="V48" i="2"/>
  <c r="V49" i="2" a="1"/>
  <c r="V49" i="2" s="1"/>
  <c r="V50" i="2" a="1"/>
  <c r="V50" i="2"/>
  <c r="V51" i="2" a="1"/>
  <c r="V51" i="2" s="1"/>
  <c r="V52" i="2" a="1"/>
  <c r="V52" i="2"/>
  <c r="V53" i="2" a="1"/>
  <c r="V53" i="2" s="1"/>
  <c r="V54" i="2" a="1"/>
  <c r="V54" i="2"/>
  <c r="V55" i="2" a="1"/>
  <c r="V55" i="2" s="1"/>
  <c r="V56" i="2" a="1"/>
  <c r="V56" i="2"/>
  <c r="V57" i="2" a="1"/>
  <c r="V57" i="2" s="1"/>
  <c r="V58" i="2" a="1"/>
  <c r="V58" i="2"/>
  <c r="V59" i="2" a="1"/>
  <c r="V59" i="2" s="1"/>
  <c r="V60" i="2" a="1"/>
  <c r="V60" i="2"/>
  <c r="V61" i="2" a="1"/>
  <c r="V61" i="2" s="1"/>
  <c r="V62" i="2" a="1"/>
  <c r="V62" i="2"/>
  <c r="V63" i="2" a="1"/>
  <c r="V63" i="2" s="1"/>
  <c r="V64" i="2" a="1"/>
  <c r="V64" i="2"/>
  <c r="V65" i="2" a="1"/>
  <c r="V65" i="2" s="1"/>
  <c r="V66" i="2" a="1"/>
  <c r="V66" i="2"/>
  <c r="V67" i="2" a="1"/>
  <c r="V67" i="2" s="1"/>
  <c r="V68" i="2" a="1"/>
  <c r="V68" i="2"/>
  <c r="V69" i="2" a="1"/>
  <c r="V69" i="2" s="1"/>
  <c r="V70" i="2" a="1"/>
  <c r="V70" i="2"/>
  <c r="V71" i="2" a="1"/>
  <c r="V71" i="2" s="1"/>
  <c r="V72" i="2" a="1"/>
  <c r="V72" i="2"/>
  <c r="V73" i="2" a="1"/>
  <c r="V73" i="2" s="1"/>
  <c r="V74" i="2" a="1"/>
  <c r="V74" i="2"/>
  <c r="V75" i="2" a="1"/>
  <c r="V75" i="2" s="1"/>
  <c r="V76" i="2" a="1"/>
  <c r="V76" i="2"/>
  <c r="V77" i="2" a="1"/>
  <c r="V77" i="2" s="1"/>
  <c r="V78" i="2" a="1"/>
  <c r="V78" i="2"/>
  <c r="V79" i="2" a="1"/>
  <c r="V79" i="2" s="1"/>
  <c r="V80" i="2" a="1"/>
  <c r="V80" i="2"/>
  <c r="V81" i="2" a="1"/>
  <c r="V81" i="2" s="1"/>
  <c r="V82" i="2" a="1"/>
  <c r="V82" i="2"/>
  <c r="V83" i="2" a="1"/>
  <c r="V83" i="2" s="1"/>
  <c r="V84" i="2" a="1"/>
  <c r="V84" i="2"/>
  <c r="V85" i="2" a="1"/>
  <c r="V85" i="2" s="1"/>
  <c r="V86" i="2" a="1"/>
  <c r="V86" i="2"/>
  <c r="V87" i="2" a="1"/>
  <c r="V87" i="2" s="1"/>
  <c r="V88" i="2" a="1"/>
  <c r="V88" i="2"/>
  <c r="V89" i="2" a="1"/>
  <c r="V89" i="2" s="1"/>
  <c r="V90" i="2" a="1"/>
  <c r="V90" i="2"/>
  <c r="V91" i="2" a="1"/>
  <c r="V91" i="2" s="1"/>
  <c r="V92" i="2" a="1"/>
  <c r="V92" i="2"/>
  <c r="V93" i="2" a="1"/>
  <c r="V93" i="2" s="1"/>
  <c r="V94" i="2" a="1"/>
  <c r="V94" i="2"/>
  <c r="V95" i="2" a="1"/>
  <c r="V95" i="2" s="1"/>
  <c r="V96" i="2" a="1"/>
  <c r="V96" i="2"/>
  <c r="V97" i="2" a="1"/>
  <c r="V97" i="2" s="1"/>
  <c r="V98" i="2" a="1"/>
  <c r="V98" i="2" s="1"/>
  <c r="V99" i="2" a="1"/>
  <c r="V99" i="2" s="1"/>
  <c r="V100" i="2" a="1"/>
  <c r="V100" i="2"/>
  <c r="V101" i="2" a="1"/>
  <c r="V101" i="2" s="1"/>
  <c r="V102" i="2" a="1"/>
  <c r="V102" i="2" s="1"/>
  <c r="V103" i="2" a="1"/>
  <c r="V103" i="2" s="1"/>
  <c r="V104" i="2" a="1"/>
  <c r="V104" i="2"/>
  <c r="V105" i="2" a="1"/>
  <c r="V105" i="2" s="1"/>
  <c r="V106" i="2" a="1"/>
  <c r="V106" i="2" s="1"/>
  <c r="V107" i="2" a="1"/>
  <c r="V107" i="2" s="1"/>
  <c r="V108" i="2" a="1"/>
  <c r="V108" i="2"/>
  <c r="V109" i="2" a="1"/>
  <c r="V109" i="2" s="1"/>
  <c r="V110" i="2" a="1"/>
  <c r="V110" i="2" s="1"/>
  <c r="V111" i="2" a="1"/>
  <c r="V111" i="2" s="1"/>
  <c r="V112" i="2" a="1"/>
  <c r="V112" i="2"/>
  <c r="V113" i="2" a="1"/>
  <c r="V113" i="2" s="1"/>
  <c r="V114" i="2" a="1"/>
  <c r="V114" i="2" s="1"/>
  <c r="V115" i="2" a="1"/>
  <c r="V115" i="2" s="1"/>
  <c r="V116" i="2" a="1"/>
  <c r="V116" i="2"/>
  <c r="V117" i="2" a="1"/>
  <c r="V117" i="2" s="1"/>
  <c r="V118" i="2" a="1"/>
  <c r="V118" i="2" s="1"/>
  <c r="V119" i="2" a="1"/>
  <c r="V119" i="2" s="1"/>
  <c r="V120" i="2" a="1"/>
  <c r="V120" i="2"/>
  <c r="V121" i="2" a="1"/>
  <c r="V121" i="2" s="1"/>
  <c r="V122" i="2" a="1"/>
  <c r="V122" i="2" s="1"/>
  <c r="V123" i="2" a="1"/>
  <c r="V123" i="2" s="1"/>
  <c r="V124" i="2" a="1"/>
  <c r="V124" i="2"/>
  <c r="V125" i="2" a="1"/>
  <c r="V125" i="2" s="1"/>
  <c r="V126" i="2" a="1"/>
  <c r="V126" i="2" s="1"/>
  <c r="V127" i="2" a="1"/>
  <c r="V127" i="2" s="1"/>
  <c r="V128" i="2" a="1"/>
  <c r="V128" i="2"/>
  <c r="V129" i="2" a="1"/>
  <c r="V129" i="2" s="1"/>
  <c r="V130" i="2" a="1"/>
  <c r="V130" i="2" s="1"/>
  <c r="V131" i="2" a="1"/>
  <c r="V131" i="2" s="1"/>
  <c r="V132" i="2" a="1"/>
  <c r="V132" i="2"/>
  <c r="V133" i="2" a="1"/>
  <c r="V133" i="2" s="1"/>
  <c r="V134" i="2" a="1"/>
  <c r="V134" i="2" s="1"/>
  <c r="V135" i="2" a="1"/>
  <c r="V135" i="2" s="1"/>
  <c r="V136" i="2" a="1"/>
  <c r="V136" i="2"/>
  <c r="V137" i="2" a="1"/>
  <c r="V137" i="2" s="1"/>
  <c r="V138" i="2" a="1"/>
  <c r="V138" i="2" s="1"/>
  <c r="V139" i="2" a="1"/>
  <c r="V139" i="2" s="1"/>
  <c r="V140" i="2" a="1"/>
  <c r="V140" i="2"/>
  <c r="V141" i="2" a="1"/>
  <c r="V141" i="2" s="1"/>
  <c r="V142" i="2" a="1"/>
  <c r="V142" i="2" s="1"/>
  <c r="V143" i="2" a="1"/>
  <c r="V143" i="2" s="1"/>
  <c r="V144" i="2" a="1"/>
  <c r="V144" i="2"/>
  <c r="V145" i="2" a="1"/>
  <c r="V145" i="2" s="1"/>
  <c r="V146" i="2" a="1"/>
  <c r="V146" i="2" s="1"/>
  <c r="V147" i="2" a="1"/>
  <c r="V147" i="2" s="1"/>
  <c r="V148" i="2" a="1"/>
  <c r="V148" i="2"/>
  <c r="V149" i="2" a="1"/>
  <c r="V149" i="2" s="1"/>
  <c r="V4" i="2" a="1"/>
  <c r="V4" i="2" s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5" i="2" a="1"/>
  <c r="S5" i="2" s="1"/>
  <c r="S6" i="2" a="1"/>
  <c r="S6" i="2" s="1"/>
  <c r="S7" i="2" a="1"/>
  <c r="S7" i="2" s="1"/>
  <c r="S8" i="2" a="1"/>
  <c r="S8" i="2"/>
  <c r="S9" i="2" a="1"/>
  <c r="S9" i="2" s="1"/>
  <c r="S10" i="2" a="1"/>
  <c r="S10" i="2" s="1"/>
  <c r="S11" i="2" a="1"/>
  <c r="S11" i="2" s="1"/>
  <c r="S12" i="2" a="1"/>
  <c r="S12" i="2"/>
  <c r="S13" i="2" a="1"/>
  <c r="S13" i="2" s="1"/>
  <c r="S14" i="2" a="1"/>
  <c r="S14" i="2" s="1"/>
  <c r="S15" i="2" a="1"/>
  <c r="S15" i="2" s="1"/>
  <c r="S16" i="2" a="1"/>
  <c r="S16" i="2"/>
  <c r="S17" i="2" a="1"/>
  <c r="S17" i="2" s="1"/>
  <c r="S18" i="2" a="1"/>
  <c r="S18" i="2" s="1"/>
  <c r="S19" i="2" a="1"/>
  <c r="S19" i="2" s="1"/>
  <c r="S20" i="2" a="1"/>
  <c r="S20" i="2"/>
  <c r="S21" i="2" a="1"/>
  <c r="S21" i="2" s="1"/>
  <c r="S22" i="2" a="1"/>
  <c r="S22" i="2" s="1"/>
  <c r="S23" i="2" a="1"/>
  <c r="S23" i="2" s="1"/>
  <c r="S24" i="2" a="1"/>
  <c r="S24" i="2"/>
  <c r="S25" i="2" a="1"/>
  <c r="S25" i="2" s="1"/>
  <c r="S26" i="2" a="1"/>
  <c r="S26" i="2" s="1"/>
  <c r="S27" i="2" a="1"/>
  <c r="S27" i="2" s="1"/>
  <c r="S28" i="2" a="1"/>
  <c r="S28" i="2"/>
  <c r="S29" i="2" a="1"/>
  <c r="S29" i="2" s="1"/>
  <c r="S30" i="2" a="1"/>
  <c r="S30" i="2" s="1"/>
  <c r="S31" i="2" a="1"/>
  <c r="S31" i="2" s="1"/>
  <c r="S32" i="2" a="1"/>
  <c r="S32" i="2"/>
  <c r="S33" i="2" a="1"/>
  <c r="S33" i="2" s="1"/>
  <c r="S34" i="2" a="1"/>
  <c r="S34" i="2" s="1"/>
  <c r="S35" i="2" a="1"/>
  <c r="S35" i="2" s="1"/>
  <c r="S36" i="2" a="1"/>
  <c r="S36" i="2"/>
  <c r="S37" i="2" a="1"/>
  <c r="S37" i="2" s="1"/>
  <c r="S38" i="2" a="1"/>
  <c r="S38" i="2" s="1"/>
  <c r="S39" i="2" a="1"/>
  <c r="S39" i="2" s="1"/>
  <c r="S40" i="2" a="1"/>
  <c r="S40" i="2"/>
  <c r="S41" i="2" a="1"/>
  <c r="S41" i="2" s="1"/>
  <c r="S42" i="2" a="1"/>
  <c r="S42" i="2" s="1"/>
  <c r="S43" i="2" a="1"/>
  <c r="S43" i="2" s="1"/>
  <c r="S44" i="2" a="1"/>
  <c r="S44" i="2"/>
  <c r="S45" i="2" a="1"/>
  <c r="S45" i="2" s="1"/>
  <c r="S46" i="2" a="1"/>
  <c r="S46" i="2" s="1"/>
  <c r="S47" i="2" a="1"/>
  <c r="S47" i="2" s="1"/>
  <c r="S48" i="2" a="1"/>
  <c r="S48" i="2"/>
  <c r="S49" i="2" a="1"/>
  <c r="S49" i="2" s="1"/>
  <c r="S50" i="2" a="1"/>
  <c r="S50" i="2" s="1"/>
  <c r="S51" i="2" a="1"/>
  <c r="S51" i="2" s="1"/>
  <c r="S52" i="2" a="1"/>
  <c r="S52" i="2"/>
  <c r="S53" i="2" a="1"/>
  <c r="S53" i="2" s="1"/>
  <c r="S54" i="2" a="1"/>
  <c r="S54" i="2" s="1"/>
  <c r="S55" i="2" a="1"/>
  <c r="S55" i="2" s="1"/>
  <c r="S56" i="2" a="1"/>
  <c r="S56" i="2"/>
  <c r="S57" i="2" a="1"/>
  <c r="S57" i="2" s="1"/>
  <c r="S58" i="2" a="1"/>
  <c r="S58" i="2" s="1"/>
  <c r="S59" i="2" a="1"/>
  <c r="S59" i="2" s="1"/>
  <c r="S60" i="2" a="1"/>
  <c r="S60" i="2"/>
  <c r="S61" i="2" a="1"/>
  <c r="S61" i="2" s="1"/>
  <c r="S62" i="2" a="1"/>
  <c r="S62" i="2" s="1"/>
  <c r="S63" i="2" a="1"/>
  <c r="S63" i="2" s="1"/>
  <c r="S64" i="2" a="1"/>
  <c r="S64" i="2"/>
  <c r="S65" i="2" a="1"/>
  <c r="S65" i="2" s="1"/>
  <c r="S66" i="2" a="1"/>
  <c r="S66" i="2" s="1"/>
  <c r="S67" i="2" a="1"/>
  <c r="S67" i="2" s="1"/>
  <c r="S68" i="2" a="1"/>
  <c r="S68" i="2"/>
  <c r="S69" i="2" a="1"/>
  <c r="S69" i="2" s="1"/>
  <c r="S70" i="2" a="1"/>
  <c r="S70" i="2" s="1"/>
  <c r="S71" i="2" a="1"/>
  <c r="S71" i="2" s="1"/>
  <c r="S72" i="2" a="1"/>
  <c r="S72" i="2"/>
  <c r="S73" i="2" a="1"/>
  <c r="S73" i="2" s="1"/>
  <c r="S74" i="2" a="1"/>
  <c r="S74" i="2" s="1"/>
  <c r="S75" i="2" a="1"/>
  <c r="S75" i="2" s="1"/>
  <c r="S76" i="2" a="1"/>
  <c r="S76" i="2"/>
  <c r="S77" i="2" a="1"/>
  <c r="S77" i="2" s="1"/>
  <c r="S78" i="2" a="1"/>
  <c r="S78" i="2" s="1"/>
  <c r="S79" i="2" a="1"/>
  <c r="S79" i="2" s="1"/>
  <c r="S80" i="2" a="1"/>
  <c r="S80" i="2"/>
  <c r="S81" i="2" a="1"/>
  <c r="S81" i="2" s="1"/>
  <c r="S82" i="2" a="1"/>
  <c r="S82" i="2" s="1"/>
  <c r="S83" i="2" a="1"/>
  <c r="S83" i="2" s="1"/>
  <c r="S84" i="2" a="1"/>
  <c r="S84" i="2"/>
  <c r="S85" i="2" a="1"/>
  <c r="S85" i="2" s="1"/>
  <c r="S86" i="2" a="1"/>
  <c r="S86" i="2" s="1"/>
  <c r="S87" i="2" a="1"/>
  <c r="S87" i="2" s="1"/>
  <c r="S88" i="2" a="1"/>
  <c r="S88" i="2"/>
  <c r="S89" i="2" a="1"/>
  <c r="S89" i="2" s="1"/>
  <c r="S90" i="2" a="1"/>
  <c r="S90" i="2" s="1"/>
  <c r="S91" i="2" a="1"/>
  <c r="S91" i="2" s="1"/>
  <c r="S92" i="2" a="1"/>
  <c r="S92" i="2"/>
  <c r="S93" i="2" a="1"/>
  <c r="S93" i="2" s="1"/>
  <c r="S94" i="2" a="1"/>
  <c r="S94" i="2" s="1"/>
  <c r="S95" i="2" a="1"/>
  <c r="S95" i="2" s="1"/>
  <c r="S96" i="2" a="1"/>
  <c r="S96" i="2"/>
  <c r="S97" i="2" a="1"/>
  <c r="S97" i="2" s="1"/>
  <c r="S98" i="2" a="1"/>
  <c r="S98" i="2" s="1"/>
  <c r="S99" i="2" a="1"/>
  <c r="S99" i="2" s="1"/>
  <c r="S100" i="2" a="1"/>
  <c r="S100" i="2"/>
  <c r="S101" i="2" a="1"/>
  <c r="S101" i="2" s="1"/>
  <c r="S102" i="2" a="1"/>
  <c r="S102" i="2" s="1"/>
  <c r="S103" i="2" a="1"/>
  <c r="S103" i="2" s="1"/>
  <c r="S104" i="2" a="1"/>
  <c r="S104" i="2"/>
  <c r="S105" i="2" a="1"/>
  <c r="S105" i="2" s="1"/>
  <c r="S106" i="2" a="1"/>
  <c r="S106" i="2" s="1"/>
  <c r="S107" i="2" a="1"/>
  <c r="S107" i="2" s="1"/>
  <c r="S108" i="2" a="1"/>
  <c r="S108" i="2"/>
  <c r="S109" i="2" a="1"/>
  <c r="S109" i="2" s="1"/>
  <c r="S110" i="2" a="1"/>
  <c r="S110" i="2" s="1"/>
  <c r="S111" i="2" a="1"/>
  <c r="S111" i="2" s="1"/>
  <c r="S112" i="2" a="1"/>
  <c r="S112" i="2"/>
  <c r="S113" i="2" a="1"/>
  <c r="S113" i="2" s="1"/>
  <c r="S114" i="2" a="1"/>
  <c r="S114" i="2" s="1"/>
  <c r="S115" i="2" a="1"/>
  <c r="S115" i="2" s="1"/>
  <c r="S116" i="2" a="1"/>
  <c r="S116" i="2"/>
  <c r="S117" i="2" a="1"/>
  <c r="S117" i="2" s="1"/>
  <c r="S118" i="2" a="1"/>
  <c r="S118" i="2" s="1"/>
  <c r="S119" i="2" a="1"/>
  <c r="S119" i="2" s="1"/>
  <c r="S120" i="2" a="1"/>
  <c r="S120" i="2"/>
  <c r="S121" i="2" a="1"/>
  <c r="S121" i="2" s="1"/>
  <c r="S122" i="2" a="1"/>
  <c r="S122" i="2" s="1"/>
  <c r="S123" i="2" a="1"/>
  <c r="S123" i="2" s="1"/>
  <c r="S124" i="2" a="1"/>
  <c r="S124" i="2"/>
  <c r="S125" i="2" a="1"/>
  <c r="S125" i="2" s="1"/>
  <c r="S126" i="2" a="1"/>
  <c r="S126" i="2" s="1"/>
  <c r="S127" i="2" a="1"/>
  <c r="S127" i="2" s="1"/>
  <c r="S128" i="2" a="1"/>
  <c r="S128" i="2"/>
  <c r="S129" i="2" a="1"/>
  <c r="S129" i="2" s="1"/>
  <c r="S130" i="2" a="1"/>
  <c r="S130" i="2" s="1"/>
  <c r="S131" i="2" a="1"/>
  <c r="S131" i="2" s="1"/>
  <c r="S132" i="2" a="1"/>
  <c r="S132" i="2"/>
  <c r="S133" i="2" a="1"/>
  <c r="S133" i="2" s="1"/>
  <c r="S134" i="2" a="1"/>
  <c r="S134" i="2" s="1"/>
  <c r="S135" i="2" a="1"/>
  <c r="S135" i="2" s="1"/>
  <c r="S136" i="2" a="1"/>
  <c r="S136" i="2"/>
  <c r="S137" i="2" a="1"/>
  <c r="S137" i="2" s="1"/>
  <c r="S138" i="2" a="1"/>
  <c r="S138" i="2" s="1"/>
  <c r="S139" i="2" a="1"/>
  <c r="S139" i="2" s="1"/>
  <c r="S140" i="2" a="1"/>
  <c r="S140" i="2"/>
  <c r="S141" i="2" a="1"/>
  <c r="S141" i="2" s="1"/>
  <c r="S142" i="2" a="1"/>
  <c r="S142" i="2" s="1"/>
  <c r="S143" i="2" a="1"/>
  <c r="S143" i="2" s="1"/>
  <c r="S144" i="2" a="1"/>
  <c r="S144" i="2"/>
  <c r="S145" i="2" a="1"/>
  <c r="S145" i="2" s="1"/>
  <c r="S146" i="2" a="1"/>
  <c r="S146" i="2" s="1"/>
  <c r="S147" i="2" a="1"/>
  <c r="S147" i="2" s="1"/>
  <c r="S148" i="2" a="1"/>
  <c r="S148" i="2"/>
  <c r="S149" i="2" a="1"/>
  <c r="S149" i="2" s="1"/>
  <c r="S4" i="2" a="1"/>
  <c r="S4" i="2" s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<sst xmlns="http://schemas.openxmlformats.org/spreadsheetml/2006/main" count="1805" uniqueCount="721">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</sst>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B9" sqref="B9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1" t="s">
        <v>0</v>
      </c>
      <c r="B1" s="22"/>
      <c r="C1" s="22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20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N76" workbookViewId="0">
      <selection activeCell="Y3" sqref="Y3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IF(N4="Very Poor","Terminate","Keep")</f>
        <v>Terminate</v>
      </c>
      <c r="R4" s="18" t="str">
        <f>IF(N4="Very Good","5% Bonus","Not eligible")</f>
        <v>Not eligible</v>
      </c>
      <c r="S4" s="15" t="str" cm="1">
        <f t="array" ref="S4">IFERROR(_xlfn.IFS(P4&lt;40000,"Low",P4&gt;40000&amp;80000,"Medium",P4&gt;80000,"High"),"Not available")</f>
        <v>High</v>
      </c>
      <c r="T4" s="15" t="str">
        <f>IF(AND(I4="Mumbai",L4="HR"),"WFH","NO WFH")</f>
        <v>NO WFH</v>
      </c>
      <c r="U4" s="15" t="str">
        <f>IF(OR(L4="Finance",L4="HR"),"WFH","NO WFH")</f>
        <v>WFH</v>
      </c>
      <c r="V4" s="19" t="str" cm="1">
        <f t="array" ref="V4">IFERROR(_xlfn.IFS(N4="Very Good","15% inc1",N4="Good","12%inc",N4="Average","10%inc"),"Work hard")</f>
        <v>Work hard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IF(N5="Very Poor","Terminate","Keep")</f>
        <v>Keep</v>
      </c>
      <c r="R5" s="18" t="str">
        <f t="shared" ref="R5:R68" si="1">IF(N5="Very Good","5% Bonus","Not eligible")</f>
        <v>Not eligible</v>
      </c>
      <c r="S5" s="15" t="str" cm="1">
        <f t="array" ref="S5">IFERROR(_xlfn.IFS(P5&lt;40000,"Low",P5&gt;40000&amp;80000,"Medium",P5&gt;80000,"High"),"Not available")</f>
        <v>Low</v>
      </c>
      <c r="T5" s="15" t="str">
        <f t="shared" ref="T5:T68" si="2">IF(AND(I5="Mumbai",L5="HR"),"WFH","NO WFH")</f>
        <v>NO WFH</v>
      </c>
      <c r="U5" s="15" t="str">
        <f t="shared" ref="U5:U68" si="3">IF(OR(L5="Finance",L5="HR"),"WFH","NO WFH")</f>
        <v>WFH</v>
      </c>
      <c r="V5" s="19" t="str" cm="1">
        <f t="array" ref="V5">IFERROR(_xlfn.IFS(N5="Very Good","15% inc1",N5="Good","12%inc",N5="Average","10%inc"),"Work hard")</f>
        <v>12%inc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</v>
      </c>
      <c r="R6" s="18" t="str">
        <f t="shared" si="1"/>
        <v>Not eligible</v>
      </c>
      <c r="S6" s="15" t="str" cm="1">
        <f t="array" ref="S6">IFERROR(_xlfn.IFS(P6&lt;40000,"Low",P6&gt;40000&amp;80000,"Medium",P6&gt;80000,"High"),"Not available")</f>
        <v>High</v>
      </c>
      <c r="T6" s="15" t="str">
        <f t="shared" si="2"/>
        <v>WFH</v>
      </c>
      <c r="U6" s="15" t="str">
        <f t="shared" si="3"/>
        <v>WFH</v>
      </c>
      <c r="V6" s="19" t="str" cm="1">
        <f t="array" ref="V6">IFERROR(_xlfn.IFS(N6="Very Good","15% inc1",N6="Good","12%inc",N6="Average","10%inc"),"Work hard")</f>
        <v>Work hard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>Keep</v>
      </c>
      <c r="R7" s="18" t="str">
        <f t="shared" si="1"/>
        <v>Not eligible</v>
      </c>
      <c r="S7" s="15" t="str" cm="1">
        <f t="array" ref="S7">IFERROR(_xlfn.IFS(P7&lt;40000,"Low",P7&gt;40000&amp;80000,"Medium",P7&gt;80000,"High"),"Not available")</f>
        <v>High</v>
      </c>
      <c r="T7" s="15" t="str">
        <f t="shared" si="2"/>
        <v>NO WFH</v>
      </c>
      <c r="U7" s="15" t="str">
        <f t="shared" si="3"/>
        <v>WFH</v>
      </c>
      <c r="V7" s="19" t="str" cm="1">
        <f t="array" ref="V7">IFERROR(_xlfn.IFS(N7="Very Good","15% inc1",N7="Good","12%inc",N7="Average","10%inc"),"Work hard")</f>
        <v>12%inc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f t="shared" si="0"/>
        <v>Keep</v>
      </c>
      <c r="R8" s="18" t="str">
        <f t="shared" si="1"/>
        <v>Not eligible</v>
      </c>
      <c r="S8" s="15" t="str" cm="1">
        <f t="array" ref="S8">IFERROR(_xlfn.IFS(P8&lt;40000,"Low",P8&gt;40000&amp;80000,"Medium",P8&gt;80000,"High"),"Not available")</f>
        <v>Low</v>
      </c>
      <c r="T8" s="15" t="str">
        <f t="shared" si="2"/>
        <v>NO WFH</v>
      </c>
      <c r="U8" s="15" t="str">
        <f t="shared" si="3"/>
        <v>NO WFH</v>
      </c>
      <c r="V8" s="19" t="str" cm="1">
        <f t="array" ref="V8">IFERROR(_xlfn.IFS(N8="Very Good","15% inc1",N8="Good","12%inc",N8="Average","10%inc"),"Work hard")</f>
        <v>Work hard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>Keep</v>
      </c>
      <c r="R9" s="18" t="str">
        <f t="shared" si="1"/>
        <v>Not eligible</v>
      </c>
      <c r="S9" s="15" t="str" cm="1">
        <f t="array" ref="S9">IFERROR(_xlfn.IFS(P9&lt;40000,"Low",P9&gt;40000&amp;80000,"Medium",P9&gt;80000,"High"),"Not available")</f>
        <v>High</v>
      </c>
      <c r="T9" s="15" t="str">
        <f t="shared" si="2"/>
        <v>NO WFH</v>
      </c>
      <c r="U9" s="15" t="str">
        <f t="shared" si="3"/>
        <v>WFH</v>
      </c>
      <c r="V9" s="19" t="str" cm="1">
        <f t="array" ref="V9">IFERROR(_xlfn.IFS(N9="Very Good","15% inc1",N9="Good","12%inc",N9="Average","10%inc"),"Work hard")</f>
        <v>10%inc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</v>
      </c>
      <c r="R10" s="18" t="str">
        <f t="shared" si="1"/>
        <v>Not eligible</v>
      </c>
      <c r="S10" s="15" t="str" cm="1">
        <f t="array" ref="S10">IFERROR(_xlfn.IFS(P10&lt;40000,"Low",P10&gt;40000&amp;80000,"Medium",P10&gt;80000,"High"),"Not available")</f>
        <v>High</v>
      </c>
      <c r="T10" s="15" t="str">
        <f t="shared" si="2"/>
        <v>NO WFH</v>
      </c>
      <c r="U10" s="15" t="str">
        <f t="shared" si="3"/>
        <v>NO WFH</v>
      </c>
      <c r="V10" s="19" t="str" cm="1">
        <f t="array" ref="V10">IFERROR(_xlfn.IFS(N10="Very Good","15% inc1",N10="Good","12%inc",N10="Average","10%inc"),"Work hard")</f>
        <v>Work hard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>Keep</v>
      </c>
      <c r="R11" s="18" t="str">
        <f t="shared" si="1"/>
        <v>Not eligible</v>
      </c>
      <c r="S11" s="15" t="str" cm="1">
        <f t="array" ref="S11">IFERROR(_xlfn.IFS(P11&lt;40000,"Low",P11&gt;40000&amp;80000,"Medium",P11&gt;80000,"High"),"Not available")</f>
        <v>High</v>
      </c>
      <c r="T11" s="15" t="str">
        <f t="shared" si="2"/>
        <v>NO WFH</v>
      </c>
      <c r="U11" s="15" t="str">
        <f t="shared" si="3"/>
        <v>NO WFH</v>
      </c>
      <c r="V11" s="19" t="str" cm="1">
        <f t="array" ref="V11">IFERROR(_xlfn.IFS(N11="Very Good","15% inc1",N11="Good","12%inc",N11="Average","10%inc"),"Work hard")</f>
        <v>12%inc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>Keep</v>
      </c>
      <c r="R12" s="18" t="str">
        <f t="shared" si="1"/>
        <v>Not eligible</v>
      </c>
      <c r="S12" s="15" t="str" cm="1">
        <f t="array" ref="S12">IFERROR(_xlfn.IFS(P12&lt;40000,"Low",P12&gt;40000&amp;80000,"Medium",P12&gt;80000,"High"),"Not available")</f>
        <v>Not available</v>
      </c>
      <c r="T12" s="15" t="str">
        <f t="shared" si="2"/>
        <v>NO WFH</v>
      </c>
      <c r="U12" s="15" t="str">
        <f t="shared" si="3"/>
        <v>NO WFH</v>
      </c>
      <c r="V12" s="19" t="str" cm="1">
        <f t="array" ref="V12">IFERROR(_xlfn.IFS(N12="Very Good","15% inc1",N12="Good","12%inc",N12="Average","10%inc"),"Work hard")</f>
        <v>Work hard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</v>
      </c>
      <c r="R13" s="18" t="str">
        <f t="shared" si="1"/>
        <v>Not eligible</v>
      </c>
      <c r="S13" s="15" t="str" cm="1">
        <f t="array" ref="S13">IFERROR(_xlfn.IFS(P13&lt;40000,"Low",P13&gt;40000&amp;80000,"Medium",P13&gt;80000,"High"),"Not available")</f>
        <v>High</v>
      </c>
      <c r="T13" s="15" t="str">
        <f t="shared" si="2"/>
        <v>WFH</v>
      </c>
      <c r="U13" s="15" t="str">
        <f t="shared" si="3"/>
        <v>WFH</v>
      </c>
      <c r="V13" s="19" t="str" cm="1">
        <f t="array" ref="V13">IFERROR(_xlfn.IFS(N13="Very Good","15% inc1",N13="Good","12%inc",N13="Average","10%inc"),"Work hard")</f>
        <v>Work hard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>Keep</v>
      </c>
      <c r="R14" s="18" t="str">
        <f t="shared" si="1"/>
        <v>Not eligible</v>
      </c>
      <c r="S14" s="15" t="str" cm="1">
        <f t="array" ref="S14">IFERROR(_xlfn.IFS(P14&lt;40000,"Low",P14&gt;40000&amp;80000,"Medium",P14&gt;80000,"High"),"Not available")</f>
        <v>High</v>
      </c>
      <c r="T14" s="15" t="str">
        <f t="shared" si="2"/>
        <v>NO WFH</v>
      </c>
      <c r="U14" s="15" t="str">
        <f t="shared" si="3"/>
        <v>NO WFH</v>
      </c>
      <c r="V14" s="19" t="str" cm="1">
        <f t="array" ref="V14">IFERROR(_xlfn.IFS(N14="Very Good","15% inc1",N14="Good","12%inc",N14="Average","10%inc"),"Work hard")</f>
        <v>10%inc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</v>
      </c>
      <c r="R15" s="18" t="str">
        <f t="shared" si="1"/>
        <v>Not eligible</v>
      </c>
      <c r="S15" s="15" t="str" cm="1">
        <f t="array" ref="S15">IFERROR(_xlfn.IFS(P15&lt;40000,"Low",P15&gt;40000&amp;80000,"Medium",P15&gt;80000,"High"),"Not available")</f>
        <v>High</v>
      </c>
      <c r="T15" s="15" t="str">
        <f t="shared" si="2"/>
        <v>NO WFH</v>
      </c>
      <c r="U15" s="15" t="str">
        <f t="shared" si="3"/>
        <v>NO WFH</v>
      </c>
      <c r="V15" s="19" t="str" cm="1">
        <f t="array" ref="V15">IFERROR(_xlfn.IFS(N15="Very Good","15% inc1",N15="Good","12%inc",N15="Average","10%inc"),"Work hard")</f>
        <v>Work hard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</v>
      </c>
      <c r="R16" s="18" t="str">
        <f t="shared" si="1"/>
        <v>Not eligible</v>
      </c>
      <c r="S16" s="15" t="str" cm="1">
        <f t="array" ref="S16">IFERROR(_xlfn.IFS(P16&lt;40000,"Low",P16&gt;40000&amp;80000,"Medium",P16&gt;80000,"High"),"Not available")</f>
        <v>High</v>
      </c>
      <c r="T16" s="15" t="str">
        <f t="shared" si="2"/>
        <v>NO WFH</v>
      </c>
      <c r="U16" s="15" t="str">
        <f t="shared" si="3"/>
        <v>NO WFH</v>
      </c>
      <c r="V16" s="19" t="str" cm="1">
        <f t="array" ref="V16">IFERROR(_xlfn.IFS(N16="Very Good","15% inc1",N16="Good","12%inc",N16="Average","10%inc"),"Work hard")</f>
        <v>Work hard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</v>
      </c>
      <c r="R17" s="18" t="str">
        <f t="shared" si="1"/>
        <v>Not eligible</v>
      </c>
      <c r="S17" s="15" t="str" cm="1">
        <f t="array" ref="S17">IFERROR(_xlfn.IFS(P17&lt;40000,"Low",P17&gt;40000&amp;80000,"Medium",P17&gt;80000,"High"),"Not available")</f>
        <v>High</v>
      </c>
      <c r="T17" s="15" t="str">
        <f t="shared" si="2"/>
        <v>NO WFH</v>
      </c>
      <c r="U17" s="15" t="str">
        <f t="shared" si="3"/>
        <v>NO WFH</v>
      </c>
      <c r="V17" s="19" t="str" cm="1">
        <f t="array" ref="V17">IFERROR(_xlfn.IFS(N17="Very Good","15% inc1",N17="Good","12%inc",N17="Average","10%inc"),"Work hard")</f>
        <v>Work hard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>Keep</v>
      </c>
      <c r="R18" s="18" t="str">
        <f t="shared" si="1"/>
        <v>Not eligible</v>
      </c>
      <c r="S18" s="15" t="str" cm="1">
        <f t="array" ref="S18">IFERROR(_xlfn.IFS(P18&lt;40000,"Low",P18&gt;40000&amp;80000,"Medium",P18&gt;80000,"High"),"Not available")</f>
        <v>High</v>
      </c>
      <c r="T18" s="15" t="str">
        <f t="shared" si="2"/>
        <v>NO WFH</v>
      </c>
      <c r="U18" s="15" t="str">
        <f t="shared" si="3"/>
        <v>NO WFH</v>
      </c>
      <c r="V18" s="19" t="str" cm="1">
        <f t="array" ref="V18">IFERROR(_xlfn.IFS(N18="Very Good","15% inc1",N18="Good","12%inc",N18="Average","10%inc"),"Work hard")</f>
        <v>12%inc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>Keep</v>
      </c>
      <c r="R19" s="18" t="str">
        <f t="shared" si="1"/>
        <v>5% Bonus</v>
      </c>
      <c r="S19" s="15" t="str" cm="1">
        <f t="array" ref="S19">IFERROR(_xlfn.IFS(P19&lt;40000,"Low",P19&gt;40000&amp;80000,"Medium",P19&gt;80000,"High"),"Not available")</f>
        <v>High</v>
      </c>
      <c r="T19" s="15" t="str">
        <f t="shared" si="2"/>
        <v>NO WFH</v>
      </c>
      <c r="U19" s="15" t="str">
        <f t="shared" si="3"/>
        <v>WFH</v>
      </c>
      <c r="V19" s="19" t="str" cm="1">
        <f t="array" ref="V19">IFERROR(_xlfn.IFS(N19="Very Good","15% inc1",N19="Good","12%inc",N19="Average","10%inc"),"Work hard")</f>
        <v>15% inc1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</v>
      </c>
      <c r="R20" s="18" t="str">
        <f t="shared" si="1"/>
        <v>Not eligible</v>
      </c>
      <c r="S20" s="15" t="str" cm="1">
        <f t="array" ref="S20">IFERROR(_xlfn.IFS(P20&lt;40000,"Low",P20&gt;40000&amp;80000,"Medium",P20&gt;80000,"High"),"Not available")</f>
        <v>Low</v>
      </c>
      <c r="T20" s="15" t="str">
        <f t="shared" si="2"/>
        <v>NO WFH</v>
      </c>
      <c r="U20" s="15" t="str">
        <f t="shared" si="3"/>
        <v>NO WFH</v>
      </c>
      <c r="V20" s="19" t="str" cm="1">
        <f t="array" ref="V20">IFERROR(_xlfn.IFS(N20="Very Good","15% inc1",N20="Good","12%inc",N20="Average","10%inc"),"Work hard")</f>
        <v>Work hard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>Keep</v>
      </c>
      <c r="R21" s="18" t="str">
        <f t="shared" si="1"/>
        <v>Not eligible</v>
      </c>
      <c r="S21" s="15" t="str" cm="1">
        <f t="array" ref="S21">IFERROR(_xlfn.IFS(P21&lt;40000,"Low",P21&gt;40000&amp;80000,"Medium",P21&gt;80000,"High"),"Not available")</f>
        <v>High</v>
      </c>
      <c r="T21" s="15" t="str">
        <f t="shared" si="2"/>
        <v>NO WFH</v>
      </c>
      <c r="U21" s="15" t="str">
        <f t="shared" si="3"/>
        <v>WFH</v>
      </c>
      <c r="V21" s="19" t="str" cm="1">
        <f t="array" ref="V21">IFERROR(_xlfn.IFS(N21="Very Good","15% inc1",N21="Good","12%inc",N21="Average","10%inc"),"Work hard")</f>
        <v>12%inc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>Keep</v>
      </c>
      <c r="R22" s="18" t="str">
        <f t="shared" si="1"/>
        <v>Not eligible</v>
      </c>
      <c r="S22" s="15" t="str" cm="1">
        <f t="array" ref="S22">IFERROR(_xlfn.IFS(P22&lt;40000,"Low",P22&gt;40000&amp;80000,"Medium",P22&gt;80000,"High"),"Not available")</f>
        <v>High</v>
      </c>
      <c r="T22" s="15" t="str">
        <f t="shared" si="2"/>
        <v>NO WFH</v>
      </c>
      <c r="U22" s="15" t="str">
        <f t="shared" si="3"/>
        <v>NO WFH</v>
      </c>
      <c r="V22" s="19" t="str" cm="1">
        <f t="array" ref="V22">IFERROR(_xlfn.IFS(N22="Very Good","15% inc1",N22="Good","12%inc",N22="Average","10%inc"),"Work hard")</f>
        <v>Work hard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>Keep</v>
      </c>
      <c r="R23" s="18" t="str">
        <f t="shared" si="1"/>
        <v>Not eligible</v>
      </c>
      <c r="S23" s="15" t="str" cm="1">
        <f t="array" ref="S23">IFERROR(_xlfn.IFS(P23&lt;40000,"Low",P23&gt;40000&amp;80000,"Medium",P23&gt;80000,"High"),"Not available")</f>
        <v>High</v>
      </c>
      <c r="T23" s="15" t="str">
        <f t="shared" si="2"/>
        <v>NO WFH</v>
      </c>
      <c r="U23" s="15" t="str">
        <f t="shared" si="3"/>
        <v>NO WFH</v>
      </c>
      <c r="V23" s="19" t="str" cm="1">
        <f t="array" ref="V23">IFERROR(_xlfn.IFS(N23="Very Good","15% inc1",N23="Good","12%inc",N23="Average","10%inc"),"Work hard")</f>
        <v>Work hard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</v>
      </c>
      <c r="R24" s="18" t="str">
        <f t="shared" si="1"/>
        <v>Not eligible</v>
      </c>
      <c r="S24" s="15" t="str" cm="1">
        <f t="array" ref="S24">IFERROR(_xlfn.IFS(P24&lt;40000,"Low",P24&gt;40000&amp;80000,"Medium",P24&gt;80000,"High"),"Not available")</f>
        <v>High</v>
      </c>
      <c r="T24" s="15" t="str">
        <f t="shared" si="2"/>
        <v>NO WFH</v>
      </c>
      <c r="U24" s="15" t="str">
        <f t="shared" si="3"/>
        <v>NO WFH</v>
      </c>
      <c r="V24" s="19" t="str" cm="1">
        <f t="array" ref="V24">IFERROR(_xlfn.IFS(N24="Very Good","15% inc1",N24="Good","12%inc",N24="Average","10%inc"),"Work hard")</f>
        <v>Work hard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>Keep</v>
      </c>
      <c r="R25" s="18" t="str">
        <f t="shared" si="1"/>
        <v>Not eligible</v>
      </c>
      <c r="S25" s="15" t="str" cm="1">
        <f t="array" ref="S25">IFERROR(_xlfn.IFS(P25&lt;40000,"Low",P25&gt;40000&amp;80000,"Medium",P25&gt;80000,"High"),"Not available")</f>
        <v>Low</v>
      </c>
      <c r="T25" s="15" t="str">
        <f t="shared" si="2"/>
        <v>NO WFH</v>
      </c>
      <c r="U25" s="15" t="str">
        <f t="shared" si="3"/>
        <v>NO WFH</v>
      </c>
      <c r="V25" s="19" t="str" cm="1">
        <f t="array" ref="V25">IFERROR(_xlfn.IFS(N25="Very Good","15% inc1",N25="Good","12%inc",N25="Average","10%inc"),"Work hard")</f>
        <v>12%inc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>Keep</v>
      </c>
      <c r="R26" s="18" t="str">
        <f t="shared" si="1"/>
        <v>Not eligible</v>
      </c>
      <c r="S26" s="15" t="str" cm="1">
        <f t="array" ref="S26">IFERROR(_xlfn.IFS(P26&lt;40000,"Low",P26&gt;40000&amp;80000,"Medium",P26&gt;80000,"High"),"Not available")</f>
        <v>Low</v>
      </c>
      <c r="T26" s="15" t="str">
        <f t="shared" si="2"/>
        <v>NO WFH</v>
      </c>
      <c r="U26" s="15" t="str">
        <f t="shared" si="3"/>
        <v>NO WFH</v>
      </c>
      <c r="V26" s="19" t="str" cm="1">
        <f t="array" ref="V26">IFERROR(_xlfn.IFS(N26="Very Good","15% inc1",N26="Good","12%inc",N26="Average","10%inc"),"Work hard")</f>
        <v>Work hard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>Keep</v>
      </c>
      <c r="R27" s="18" t="str">
        <f t="shared" si="1"/>
        <v>Not eligible</v>
      </c>
      <c r="S27" s="15" t="str" cm="1">
        <f t="array" ref="S27">IFERROR(_xlfn.IFS(P27&lt;40000,"Low",P27&gt;40000&amp;80000,"Medium",P27&gt;80000,"High"),"Not available")</f>
        <v>Low</v>
      </c>
      <c r="T27" s="15" t="str">
        <f t="shared" si="2"/>
        <v>NO WFH</v>
      </c>
      <c r="U27" s="15" t="str">
        <f t="shared" si="3"/>
        <v>NO WFH</v>
      </c>
      <c r="V27" s="19" t="str" cm="1">
        <f t="array" ref="V27">IFERROR(_xlfn.IFS(N27="Very Good","15% inc1",N27="Good","12%inc",N27="Average","10%inc"),"Work hard")</f>
        <v>12%inc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>Keep</v>
      </c>
      <c r="R28" s="18" t="str">
        <f t="shared" si="1"/>
        <v>Not eligible</v>
      </c>
      <c r="S28" s="15" t="str" cm="1">
        <f t="array" ref="S28">IFERROR(_xlfn.IFS(P28&lt;40000,"Low",P28&gt;40000&amp;80000,"Medium",P28&gt;80000,"High"),"Not available")</f>
        <v>Low</v>
      </c>
      <c r="T28" s="15" t="str">
        <f t="shared" si="2"/>
        <v>NO WFH</v>
      </c>
      <c r="U28" s="15" t="str">
        <f t="shared" si="3"/>
        <v>NO WFH</v>
      </c>
      <c r="V28" s="19" t="str" cm="1">
        <f t="array" ref="V28">IFERROR(_xlfn.IFS(N28="Very Good","15% inc1",N28="Good","12%inc",N28="Average","10%inc"),"Work hard")</f>
        <v>Work hard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>Keep</v>
      </c>
      <c r="R29" s="18" t="str">
        <f t="shared" si="1"/>
        <v>Not eligible</v>
      </c>
      <c r="S29" s="15" t="str" cm="1">
        <f t="array" ref="S29">IFERROR(_xlfn.IFS(P29&lt;40000,"Low",P29&gt;40000&amp;80000,"Medium",P29&gt;80000,"High"),"Not available")</f>
        <v>Not available</v>
      </c>
      <c r="T29" s="15" t="str">
        <f t="shared" si="2"/>
        <v>NO WFH</v>
      </c>
      <c r="U29" s="15" t="str">
        <f t="shared" si="3"/>
        <v>NO WFH</v>
      </c>
      <c r="V29" s="19" t="str" cm="1">
        <f t="array" ref="V29">IFERROR(_xlfn.IFS(N29="Very Good","15% inc1",N29="Good","12%inc",N29="Average","10%inc"),"Work hard")</f>
        <v>Work hard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>Keep</v>
      </c>
      <c r="R30" s="18" t="str">
        <f t="shared" si="1"/>
        <v>Not eligible</v>
      </c>
      <c r="S30" s="15" t="str" cm="1">
        <f t="array" ref="S30">IFERROR(_xlfn.IFS(P30&lt;40000,"Low",P30&gt;40000&amp;80000,"Medium",P30&gt;80000,"High"),"Not available")</f>
        <v>High</v>
      </c>
      <c r="T30" s="15" t="str">
        <f t="shared" si="2"/>
        <v>NO WFH</v>
      </c>
      <c r="U30" s="15" t="str">
        <f t="shared" si="3"/>
        <v>WFH</v>
      </c>
      <c r="V30" s="19" t="str" cm="1">
        <f t="array" ref="V30">IFERROR(_xlfn.IFS(N30="Very Good","15% inc1",N30="Good","12%inc",N30="Average","10%inc"),"Work hard")</f>
        <v>10%inc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>Keep</v>
      </c>
      <c r="R31" s="18" t="str">
        <f t="shared" si="1"/>
        <v>Not eligible</v>
      </c>
      <c r="S31" s="15" t="str" cm="1">
        <f t="array" ref="S31">IFERROR(_xlfn.IFS(P31&lt;40000,"Low",P31&gt;40000&amp;80000,"Medium",P31&gt;80000,"High"),"Not available")</f>
        <v>Not available</v>
      </c>
      <c r="T31" s="15" t="str">
        <f t="shared" si="2"/>
        <v>WFH</v>
      </c>
      <c r="U31" s="15" t="str">
        <f t="shared" si="3"/>
        <v>WFH</v>
      </c>
      <c r="V31" s="19" t="str" cm="1">
        <f t="array" ref="V31">IFERROR(_xlfn.IFS(N31="Very Good","15% inc1",N31="Good","12%inc",N31="Average","10%inc"),"Work hard")</f>
        <v>Work hard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>Keep</v>
      </c>
      <c r="R32" s="18" t="str">
        <f t="shared" si="1"/>
        <v>Not eligible</v>
      </c>
      <c r="S32" s="15" t="str" cm="1">
        <f t="array" ref="S32">IFERROR(_xlfn.IFS(P32&lt;40000,"Low",P32&gt;40000&amp;80000,"Medium",P32&gt;80000,"High"),"Not available")</f>
        <v>High</v>
      </c>
      <c r="T32" s="15" t="str">
        <f t="shared" si="2"/>
        <v>NO WFH</v>
      </c>
      <c r="U32" s="15" t="str">
        <f t="shared" si="3"/>
        <v>NO WFH</v>
      </c>
      <c r="V32" s="19" t="str" cm="1">
        <f t="array" ref="V32">IFERROR(_xlfn.IFS(N32="Very Good","15% inc1",N32="Good","12%inc",N32="Average","10%inc"),"Work hard")</f>
        <v>10%inc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>Keep</v>
      </c>
      <c r="R33" s="18" t="str">
        <f t="shared" si="1"/>
        <v>5% Bonus</v>
      </c>
      <c r="S33" s="15" t="str" cm="1">
        <f t="array" ref="S33">IFERROR(_xlfn.IFS(P33&lt;40000,"Low",P33&gt;40000&amp;80000,"Medium",P33&gt;80000,"High"),"Not available")</f>
        <v>Low</v>
      </c>
      <c r="T33" s="15" t="str">
        <f t="shared" si="2"/>
        <v>NO WFH</v>
      </c>
      <c r="U33" s="15" t="str">
        <f t="shared" si="3"/>
        <v>WFH</v>
      </c>
      <c r="V33" s="19" t="str" cm="1">
        <f t="array" ref="V33">IFERROR(_xlfn.IFS(N33="Very Good","15% inc1",N33="Good","12%inc",N33="Average","10%inc"),"Work hard")</f>
        <v>15% inc1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</v>
      </c>
      <c r="R34" s="18" t="str">
        <f t="shared" si="1"/>
        <v>Not eligible</v>
      </c>
      <c r="S34" s="15" t="str" cm="1">
        <f t="array" ref="S34">IFERROR(_xlfn.IFS(P34&lt;40000,"Low",P34&gt;40000&amp;80000,"Medium",P34&gt;80000,"High"),"Not available")</f>
        <v>High</v>
      </c>
      <c r="T34" s="15" t="str">
        <f t="shared" si="2"/>
        <v>NO WFH</v>
      </c>
      <c r="U34" s="15" t="str">
        <f t="shared" si="3"/>
        <v>NO WFH</v>
      </c>
      <c r="V34" s="19" t="str" cm="1">
        <f t="array" ref="V34">IFERROR(_xlfn.IFS(N34="Very Good","15% inc1",N34="Good","12%inc",N34="Average","10%inc"),"Work hard")</f>
        <v>Work hard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>Keep</v>
      </c>
      <c r="R35" s="18" t="str">
        <f t="shared" si="1"/>
        <v>Not eligible</v>
      </c>
      <c r="S35" s="15" t="str" cm="1">
        <f t="array" ref="S35">IFERROR(_xlfn.IFS(P35&lt;40000,"Low",P35&gt;40000&amp;80000,"Medium",P35&gt;80000,"High"),"Not available")</f>
        <v>Not available</v>
      </c>
      <c r="T35" s="15" t="str">
        <f t="shared" si="2"/>
        <v>NO WFH</v>
      </c>
      <c r="U35" s="15" t="str">
        <f t="shared" si="3"/>
        <v>NO WFH</v>
      </c>
      <c r="V35" s="19" t="str" cm="1">
        <f t="array" ref="V35">IFERROR(_xlfn.IFS(N35="Very Good","15% inc1",N35="Good","12%inc",N35="Average","10%inc"),"Work hard")</f>
        <v>12%inc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f t="shared" si="0"/>
        <v>Keep</v>
      </c>
      <c r="R36" s="18" t="str">
        <f t="shared" si="1"/>
        <v>Not eligible</v>
      </c>
      <c r="S36" s="15" t="str" cm="1">
        <f t="array" ref="S36">IFERROR(_xlfn.IFS(P36&lt;40000,"Low",P36&gt;40000&amp;80000,"Medium",P36&gt;80000,"High"),"Not available")</f>
        <v>High</v>
      </c>
      <c r="T36" s="15" t="str">
        <f t="shared" si="2"/>
        <v>NO WFH</v>
      </c>
      <c r="U36" s="15" t="str">
        <f t="shared" si="3"/>
        <v>NO WFH</v>
      </c>
      <c r="V36" s="19" t="str" cm="1">
        <f t="array" ref="V36">IFERROR(_xlfn.IFS(N36="Very Good","15% inc1",N36="Good","12%inc",N36="Average","10%inc"),"Work hard")</f>
        <v>12%inc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>Keep</v>
      </c>
      <c r="R37" s="18" t="str">
        <f t="shared" si="1"/>
        <v>Not eligible</v>
      </c>
      <c r="S37" s="15" t="str" cm="1">
        <f t="array" ref="S37">IFERROR(_xlfn.IFS(P37&lt;40000,"Low",P37&gt;40000&amp;80000,"Medium",P37&gt;80000,"High"),"Not available")</f>
        <v>High</v>
      </c>
      <c r="T37" s="15" t="str">
        <f t="shared" si="2"/>
        <v>NO WFH</v>
      </c>
      <c r="U37" s="15" t="str">
        <f t="shared" si="3"/>
        <v>WFH</v>
      </c>
      <c r="V37" s="19" t="str" cm="1">
        <f t="array" ref="V37">IFERROR(_xlfn.IFS(N37="Very Good","15% inc1",N37="Good","12%inc",N37="Average","10%inc"),"Work hard")</f>
        <v>10%inc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>Keep</v>
      </c>
      <c r="R38" s="18" t="str">
        <f t="shared" si="1"/>
        <v>5% Bonus</v>
      </c>
      <c r="S38" s="15" t="str" cm="1">
        <f t="array" ref="S38">IFERROR(_xlfn.IFS(P38&lt;40000,"Low",P38&gt;40000&amp;80000,"Medium",P38&gt;80000,"High"),"Not available")</f>
        <v>High</v>
      </c>
      <c r="T38" s="15" t="str">
        <f t="shared" si="2"/>
        <v>NO WFH</v>
      </c>
      <c r="U38" s="15" t="str">
        <f t="shared" si="3"/>
        <v>NO WFH</v>
      </c>
      <c r="V38" s="19" t="str" cm="1">
        <f t="array" ref="V38">IFERROR(_xlfn.IFS(N38="Very Good","15% inc1",N38="Good","12%inc",N38="Average","10%inc"),"Work hard")</f>
        <v>15% inc1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>Keep</v>
      </c>
      <c r="R39" s="18" t="str">
        <f t="shared" si="1"/>
        <v>Not eligible</v>
      </c>
      <c r="S39" s="15" t="str" cm="1">
        <f t="array" ref="S39">IFERROR(_xlfn.IFS(P39&lt;40000,"Low",P39&gt;40000&amp;80000,"Medium",P39&gt;80000,"High"),"Not available")</f>
        <v>Low</v>
      </c>
      <c r="T39" s="15" t="str">
        <f t="shared" si="2"/>
        <v>NO WFH</v>
      </c>
      <c r="U39" s="15" t="str">
        <f t="shared" si="3"/>
        <v>WFH</v>
      </c>
      <c r="V39" s="19" t="str" cm="1">
        <f t="array" ref="V39">IFERROR(_xlfn.IFS(N39="Very Good","15% inc1",N39="Good","12%inc",N39="Average","10%inc"),"Work hard")</f>
        <v>Work hard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>Keep</v>
      </c>
      <c r="R40" s="18" t="str">
        <f t="shared" si="1"/>
        <v>Not eligible</v>
      </c>
      <c r="S40" s="15" t="str" cm="1">
        <f t="array" ref="S40">IFERROR(_xlfn.IFS(P40&lt;40000,"Low",P40&gt;40000&amp;80000,"Medium",P40&gt;80000,"High"),"Not available")</f>
        <v>High</v>
      </c>
      <c r="T40" s="15" t="str">
        <f t="shared" si="2"/>
        <v>NO WFH</v>
      </c>
      <c r="U40" s="15" t="str">
        <f t="shared" si="3"/>
        <v>WFH</v>
      </c>
      <c r="V40" s="19" t="str" cm="1">
        <f t="array" ref="V40">IFERROR(_xlfn.IFS(N40="Very Good","15% inc1",N40="Good","12%inc",N40="Average","10%inc"),"Work hard")</f>
        <v>12%inc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</v>
      </c>
      <c r="R41" s="18" t="str">
        <f t="shared" si="1"/>
        <v>Not eligible</v>
      </c>
      <c r="S41" s="15" t="str" cm="1">
        <f t="array" ref="S41">IFERROR(_xlfn.IFS(P41&lt;40000,"Low",P41&gt;40000&amp;80000,"Medium",P41&gt;80000,"High"),"Not available")</f>
        <v>Low</v>
      </c>
      <c r="T41" s="15" t="str">
        <f t="shared" si="2"/>
        <v>NO WFH</v>
      </c>
      <c r="U41" s="15" t="str">
        <f t="shared" si="3"/>
        <v>NO WFH</v>
      </c>
      <c r="V41" s="19" t="str" cm="1">
        <f t="array" ref="V41">IFERROR(_xlfn.IFS(N41="Very Good","15% inc1",N41="Good","12%inc",N41="Average","10%inc"),"Work hard")</f>
        <v>Work hard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>Keep</v>
      </c>
      <c r="R42" s="18" t="str">
        <f t="shared" si="1"/>
        <v>Not eligible</v>
      </c>
      <c r="S42" s="15" t="str" cm="1">
        <f t="array" ref="S42">IFERROR(_xlfn.IFS(P42&lt;40000,"Low",P42&gt;40000&amp;80000,"Medium",P42&gt;80000,"High"),"Not available")</f>
        <v>Not available</v>
      </c>
      <c r="T42" s="15" t="str">
        <f t="shared" si="2"/>
        <v>NO WFH</v>
      </c>
      <c r="U42" s="15" t="str">
        <f t="shared" si="3"/>
        <v>WFH</v>
      </c>
      <c r="V42" s="19" t="str" cm="1">
        <f t="array" ref="V42">IFERROR(_xlfn.IFS(N42="Very Good","15% inc1",N42="Good","12%inc",N42="Average","10%inc"),"Work hard")</f>
        <v>Work hard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>Keep</v>
      </c>
      <c r="R43" s="18" t="str">
        <f t="shared" si="1"/>
        <v>Not eligible</v>
      </c>
      <c r="S43" s="15" t="str" cm="1">
        <f t="array" ref="S43">IFERROR(_xlfn.IFS(P43&lt;40000,"Low",P43&gt;40000&amp;80000,"Medium",P43&gt;80000,"High"),"Not available")</f>
        <v>High</v>
      </c>
      <c r="T43" s="15" t="str">
        <f t="shared" si="2"/>
        <v>NO WFH</v>
      </c>
      <c r="U43" s="15" t="str">
        <f t="shared" si="3"/>
        <v>WFH</v>
      </c>
      <c r="V43" s="19" t="str" cm="1">
        <f t="array" ref="V43">IFERROR(_xlfn.IFS(N43="Very Good","15% inc1",N43="Good","12%inc",N43="Average","10%inc"),"Work hard")</f>
        <v>12%inc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>Keep</v>
      </c>
      <c r="R44" s="18" t="str">
        <f t="shared" si="1"/>
        <v>Not eligible</v>
      </c>
      <c r="S44" s="15" t="str" cm="1">
        <f t="array" ref="S44">IFERROR(_xlfn.IFS(P44&lt;40000,"Low",P44&gt;40000&amp;80000,"Medium",P44&gt;80000,"High"),"Not available")</f>
        <v>Low</v>
      </c>
      <c r="T44" s="15" t="str">
        <f t="shared" si="2"/>
        <v>NO WFH</v>
      </c>
      <c r="U44" s="15" t="str">
        <f t="shared" si="3"/>
        <v>NO WFH</v>
      </c>
      <c r="V44" s="19" t="str" cm="1">
        <f t="array" ref="V44">IFERROR(_xlfn.IFS(N44="Very Good","15% inc1",N44="Good","12%inc",N44="Average","10%inc"),"Work hard")</f>
        <v>12%inc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</v>
      </c>
      <c r="R45" s="18" t="str">
        <f t="shared" si="1"/>
        <v>Not eligible</v>
      </c>
      <c r="S45" s="15" t="str" cm="1">
        <f t="array" ref="S45">IFERROR(_xlfn.IFS(P45&lt;40000,"Low",P45&gt;40000&amp;80000,"Medium",P45&gt;80000,"High"),"Not available")</f>
        <v>High</v>
      </c>
      <c r="T45" s="15" t="str">
        <f t="shared" si="2"/>
        <v>NO WFH</v>
      </c>
      <c r="U45" s="15" t="str">
        <f t="shared" si="3"/>
        <v>NO WFH</v>
      </c>
      <c r="V45" s="19" t="str" cm="1">
        <f t="array" ref="V45">IFERROR(_xlfn.IFS(N45="Very Good","15% inc1",N45="Good","12%inc",N45="Average","10%inc"),"Work hard")</f>
        <v>Work hard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>Keep</v>
      </c>
      <c r="R46" s="18" t="str">
        <f t="shared" si="1"/>
        <v>Not eligible</v>
      </c>
      <c r="S46" s="15" t="str" cm="1">
        <f t="array" ref="S46">IFERROR(_xlfn.IFS(P46&lt;40000,"Low",P46&gt;40000&amp;80000,"Medium",P46&gt;80000,"High"),"Not available")</f>
        <v>Not available</v>
      </c>
      <c r="T46" s="15" t="str">
        <f t="shared" si="2"/>
        <v>NO WFH</v>
      </c>
      <c r="U46" s="15" t="str">
        <f t="shared" si="3"/>
        <v>WFH</v>
      </c>
      <c r="V46" s="19" t="str" cm="1">
        <f t="array" ref="V46">IFERROR(_xlfn.IFS(N46="Very Good","15% inc1",N46="Good","12%inc",N46="Average","10%inc"),"Work hard")</f>
        <v>Work hard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>Keep</v>
      </c>
      <c r="R47" s="18" t="str">
        <f t="shared" si="1"/>
        <v>Not eligible</v>
      </c>
      <c r="S47" s="15" t="str" cm="1">
        <f t="array" ref="S47">IFERROR(_xlfn.IFS(P47&lt;40000,"Low",P47&gt;40000&amp;80000,"Medium",P47&gt;80000,"High"),"Not available")</f>
        <v>High</v>
      </c>
      <c r="T47" s="15" t="str">
        <f t="shared" si="2"/>
        <v>NO WFH</v>
      </c>
      <c r="U47" s="15" t="str">
        <f t="shared" si="3"/>
        <v>NO WFH</v>
      </c>
      <c r="V47" s="19" t="str" cm="1">
        <f t="array" ref="V47">IFERROR(_xlfn.IFS(N47="Very Good","15% inc1",N47="Good","12%inc",N47="Average","10%inc"),"Work hard")</f>
        <v>Work hard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>Keep</v>
      </c>
      <c r="R48" s="18" t="str">
        <f t="shared" si="1"/>
        <v>5% Bonus</v>
      </c>
      <c r="S48" s="15" t="str" cm="1">
        <f t="array" ref="S48">IFERROR(_xlfn.IFS(P48&lt;40000,"Low",P48&gt;40000&amp;80000,"Medium",P48&gt;80000,"High"),"Not available")</f>
        <v>High</v>
      </c>
      <c r="T48" s="15" t="str">
        <f t="shared" si="2"/>
        <v>NO WFH</v>
      </c>
      <c r="U48" s="15" t="str">
        <f t="shared" si="3"/>
        <v>NO WFH</v>
      </c>
      <c r="V48" s="19" t="str" cm="1">
        <f t="array" ref="V48">IFERROR(_xlfn.IFS(N48="Very Good","15% inc1",N48="Good","12%inc",N48="Average","10%inc"),"Work hard")</f>
        <v>15% inc1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>Keep</v>
      </c>
      <c r="R49" s="18" t="str">
        <f t="shared" si="1"/>
        <v>Not eligible</v>
      </c>
      <c r="S49" s="15" t="str" cm="1">
        <f t="array" ref="S49">IFERROR(_xlfn.IFS(P49&lt;40000,"Low",P49&gt;40000&amp;80000,"Medium",P49&gt;80000,"High"),"Not available")</f>
        <v>High</v>
      </c>
      <c r="T49" s="15" t="str">
        <f t="shared" si="2"/>
        <v>NO WFH</v>
      </c>
      <c r="U49" s="15" t="str">
        <f t="shared" si="3"/>
        <v>WFH</v>
      </c>
      <c r="V49" s="19" t="str" cm="1">
        <f t="array" ref="V49">IFERROR(_xlfn.IFS(N49="Very Good","15% inc1",N49="Good","12%inc",N49="Average","10%inc"),"Work hard")</f>
        <v>12%inc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>Keep</v>
      </c>
      <c r="R50" s="18" t="str">
        <f t="shared" si="1"/>
        <v>5% Bonus</v>
      </c>
      <c r="S50" s="15" t="str" cm="1">
        <f t="array" ref="S50">IFERROR(_xlfn.IFS(P50&lt;40000,"Low",P50&gt;40000&amp;80000,"Medium",P50&gt;80000,"High"),"Not available")</f>
        <v>High</v>
      </c>
      <c r="T50" s="15" t="str">
        <f t="shared" si="2"/>
        <v>NO WFH</v>
      </c>
      <c r="U50" s="15" t="str">
        <f t="shared" si="3"/>
        <v>WFH</v>
      </c>
      <c r="V50" s="19" t="str" cm="1">
        <f t="array" ref="V50">IFERROR(_xlfn.IFS(N50="Very Good","15% inc1",N50="Good","12%inc",N50="Average","10%inc"),"Work hard")</f>
        <v>15% inc1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>Keep</v>
      </c>
      <c r="R51" s="18" t="str">
        <f t="shared" si="1"/>
        <v>Not eligible</v>
      </c>
      <c r="S51" s="15" t="str" cm="1">
        <f t="array" ref="S51">IFERROR(_xlfn.IFS(P51&lt;40000,"Low",P51&gt;40000&amp;80000,"Medium",P51&gt;80000,"High"),"Not available")</f>
        <v>High</v>
      </c>
      <c r="T51" s="15" t="str">
        <f t="shared" si="2"/>
        <v>NO WFH</v>
      </c>
      <c r="U51" s="15" t="str">
        <f t="shared" si="3"/>
        <v>NO WFH</v>
      </c>
      <c r="V51" s="19" t="str" cm="1">
        <f t="array" ref="V51">IFERROR(_xlfn.IFS(N51="Very Good","15% inc1",N51="Good","12%inc",N51="Average","10%inc"),"Work hard")</f>
        <v>12%inc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>Keep</v>
      </c>
      <c r="R52" s="18" t="str">
        <f t="shared" si="1"/>
        <v>Not eligible</v>
      </c>
      <c r="S52" s="15" t="str" cm="1">
        <f t="array" ref="S52">IFERROR(_xlfn.IFS(P52&lt;40000,"Low",P52&gt;40000&amp;80000,"Medium",P52&gt;80000,"High"),"Not available")</f>
        <v>High</v>
      </c>
      <c r="T52" s="15" t="str">
        <f t="shared" si="2"/>
        <v>NO WFH</v>
      </c>
      <c r="U52" s="15" t="str">
        <f t="shared" si="3"/>
        <v>NO WFH</v>
      </c>
      <c r="V52" s="19" t="str" cm="1">
        <f t="array" ref="V52">IFERROR(_xlfn.IFS(N52="Very Good","15% inc1",N52="Good","12%inc",N52="Average","10%inc"),"Work hard")</f>
        <v>12%inc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</v>
      </c>
      <c r="R53" s="18" t="str">
        <f t="shared" si="1"/>
        <v>Not eligible</v>
      </c>
      <c r="S53" s="15" t="str" cm="1">
        <f t="array" ref="S53">IFERROR(_xlfn.IFS(P53&lt;40000,"Low",P53&gt;40000&amp;80000,"Medium",P53&gt;80000,"High"),"Not available")</f>
        <v>Low</v>
      </c>
      <c r="T53" s="15" t="str">
        <f t="shared" si="2"/>
        <v>WFH</v>
      </c>
      <c r="U53" s="15" t="str">
        <f t="shared" si="3"/>
        <v>WFH</v>
      </c>
      <c r="V53" s="19" t="str" cm="1">
        <f t="array" ref="V53">IFERROR(_xlfn.IFS(N53="Very Good","15% inc1",N53="Good","12%inc",N53="Average","10%inc"),"Work hard")</f>
        <v>Work hard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>Keep</v>
      </c>
      <c r="R54" s="18" t="str">
        <f t="shared" si="1"/>
        <v>Not eligible</v>
      </c>
      <c r="S54" s="15" t="str" cm="1">
        <f t="array" ref="S54">IFERROR(_xlfn.IFS(P54&lt;40000,"Low",P54&gt;40000&amp;80000,"Medium",P54&gt;80000,"High"),"Not available")</f>
        <v>High</v>
      </c>
      <c r="T54" s="15" t="str">
        <f t="shared" si="2"/>
        <v>NO WFH</v>
      </c>
      <c r="U54" s="15" t="str">
        <f t="shared" si="3"/>
        <v>WFH</v>
      </c>
      <c r="V54" s="19" t="str" cm="1">
        <f t="array" ref="V54">IFERROR(_xlfn.IFS(N54="Very Good","15% inc1",N54="Good","12%inc",N54="Average","10%inc"),"Work hard")</f>
        <v>Work hard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>Keep</v>
      </c>
      <c r="R55" s="18" t="str">
        <f t="shared" si="1"/>
        <v>5% Bonus</v>
      </c>
      <c r="S55" s="15" t="str" cm="1">
        <f t="array" ref="S55">IFERROR(_xlfn.IFS(P55&lt;40000,"Low",P55&gt;40000&amp;80000,"Medium",P55&gt;80000,"High"),"Not available")</f>
        <v>Not available</v>
      </c>
      <c r="T55" s="15" t="str">
        <f t="shared" si="2"/>
        <v>NO WFH</v>
      </c>
      <c r="U55" s="15" t="str">
        <f t="shared" si="3"/>
        <v>NO WFH</v>
      </c>
      <c r="V55" s="19" t="str" cm="1">
        <f t="array" ref="V55">IFERROR(_xlfn.IFS(N55="Very Good","15% inc1",N55="Good","12%inc",N55="Average","10%inc"),"Work hard")</f>
        <v>15% inc1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>Keep</v>
      </c>
      <c r="R56" s="18" t="str">
        <f t="shared" si="1"/>
        <v>Not eligible</v>
      </c>
      <c r="S56" s="15" t="str" cm="1">
        <f t="array" ref="S56">IFERROR(_xlfn.IFS(P56&lt;40000,"Low",P56&gt;40000&amp;80000,"Medium",P56&gt;80000,"High"),"Not available")</f>
        <v>Low</v>
      </c>
      <c r="T56" s="15" t="str">
        <f t="shared" si="2"/>
        <v>NO WFH</v>
      </c>
      <c r="U56" s="15" t="str">
        <f t="shared" si="3"/>
        <v>NO WFH</v>
      </c>
      <c r="V56" s="19" t="str" cm="1">
        <f t="array" ref="V56">IFERROR(_xlfn.IFS(N56="Very Good","15% inc1",N56="Good","12%inc",N56="Average","10%inc"),"Work hard")</f>
        <v>10%inc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>Keep</v>
      </c>
      <c r="R57" s="18" t="str">
        <f t="shared" si="1"/>
        <v>Not eligible</v>
      </c>
      <c r="S57" s="15" t="str" cm="1">
        <f t="array" ref="S57">IFERROR(_xlfn.IFS(P57&lt;40000,"Low",P57&gt;40000&amp;80000,"Medium",P57&gt;80000,"High"),"Not available")</f>
        <v>High</v>
      </c>
      <c r="T57" s="15" t="str">
        <f t="shared" si="2"/>
        <v>NO WFH</v>
      </c>
      <c r="U57" s="15" t="str">
        <f t="shared" si="3"/>
        <v>NO WFH</v>
      </c>
      <c r="V57" s="19" t="str" cm="1">
        <f t="array" ref="V57">IFERROR(_xlfn.IFS(N57="Very Good","15% inc1",N57="Good","12%inc",N57="Average","10%inc"),"Work hard")</f>
        <v>Work hard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>Keep</v>
      </c>
      <c r="R58" s="18" t="str">
        <f t="shared" si="1"/>
        <v>Not eligible</v>
      </c>
      <c r="S58" s="15" t="str" cm="1">
        <f t="array" ref="S58">IFERROR(_xlfn.IFS(P58&lt;40000,"Low",P58&gt;40000&amp;80000,"Medium",P58&gt;80000,"High"),"Not available")</f>
        <v>High</v>
      </c>
      <c r="T58" s="15" t="str">
        <f t="shared" si="2"/>
        <v>NO WFH</v>
      </c>
      <c r="U58" s="15" t="str">
        <f t="shared" si="3"/>
        <v>WFH</v>
      </c>
      <c r="V58" s="19" t="str" cm="1">
        <f t="array" ref="V58">IFERROR(_xlfn.IFS(N58="Very Good","15% inc1",N58="Good","12%inc",N58="Average","10%inc"),"Work hard")</f>
        <v>Work hard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</v>
      </c>
      <c r="R59" s="18" t="str">
        <f t="shared" si="1"/>
        <v>Not eligible</v>
      </c>
      <c r="S59" s="15" t="str" cm="1">
        <f t="array" ref="S59">IFERROR(_xlfn.IFS(P59&lt;40000,"Low",P59&gt;40000&amp;80000,"Medium",P59&gt;80000,"High"),"Not available")</f>
        <v>Not available</v>
      </c>
      <c r="T59" s="15" t="str">
        <f t="shared" si="2"/>
        <v>NO WFH</v>
      </c>
      <c r="U59" s="15" t="str">
        <f t="shared" si="3"/>
        <v>WFH</v>
      </c>
      <c r="V59" s="19" t="str" cm="1">
        <f t="array" ref="V59">IFERROR(_xlfn.IFS(N59="Very Good","15% inc1",N59="Good","12%inc",N59="Average","10%inc"),"Work hard")</f>
        <v>Work hard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>Keep</v>
      </c>
      <c r="R60" s="18" t="str">
        <f t="shared" si="1"/>
        <v>Not eligible</v>
      </c>
      <c r="S60" s="15" t="str" cm="1">
        <f t="array" ref="S60">IFERROR(_xlfn.IFS(P60&lt;40000,"Low",P60&gt;40000&amp;80000,"Medium",P60&gt;80000,"High"),"Not available")</f>
        <v>Low</v>
      </c>
      <c r="T60" s="15" t="str">
        <f t="shared" si="2"/>
        <v>NO WFH</v>
      </c>
      <c r="U60" s="15" t="str">
        <f t="shared" si="3"/>
        <v>NO WFH</v>
      </c>
      <c r="V60" s="19" t="str" cm="1">
        <f t="array" ref="V60">IFERROR(_xlfn.IFS(N60="Very Good","15% inc1",N60="Good","12%inc",N60="Average","10%inc"),"Work hard")</f>
        <v>10%inc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>Keep</v>
      </c>
      <c r="R61" s="18" t="str">
        <f t="shared" si="1"/>
        <v>Not eligible</v>
      </c>
      <c r="S61" s="15" t="str" cm="1">
        <f t="array" ref="S61">IFERROR(_xlfn.IFS(P61&lt;40000,"Low",P61&gt;40000&amp;80000,"Medium",P61&gt;80000,"High"),"Not available")</f>
        <v>High</v>
      </c>
      <c r="T61" s="15" t="str">
        <f t="shared" si="2"/>
        <v>NO WFH</v>
      </c>
      <c r="U61" s="15" t="str">
        <f t="shared" si="3"/>
        <v>NO WFH</v>
      </c>
      <c r="V61" s="19" t="str" cm="1">
        <f t="array" ref="V61">IFERROR(_xlfn.IFS(N61="Very Good","15% inc1",N61="Good","12%inc",N61="Average","10%inc"),"Work hard")</f>
        <v>Work hard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>Keep</v>
      </c>
      <c r="R62" s="18" t="str">
        <f t="shared" si="1"/>
        <v>Not eligible</v>
      </c>
      <c r="S62" s="15" t="str" cm="1">
        <f t="array" ref="S62">IFERROR(_xlfn.IFS(P62&lt;40000,"Low",P62&gt;40000&amp;80000,"Medium",P62&gt;80000,"High"),"Not available")</f>
        <v>High</v>
      </c>
      <c r="T62" s="15" t="str">
        <f t="shared" si="2"/>
        <v>NO WFH</v>
      </c>
      <c r="U62" s="15" t="str">
        <f t="shared" si="3"/>
        <v>NO WFH</v>
      </c>
      <c r="V62" s="19" t="str" cm="1">
        <f t="array" ref="V62">IFERROR(_xlfn.IFS(N62="Very Good","15% inc1",N62="Good","12%inc",N62="Average","10%inc"),"Work hard")</f>
        <v>12%inc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>Keep</v>
      </c>
      <c r="R63" s="18" t="str">
        <f t="shared" si="1"/>
        <v>Not eligible</v>
      </c>
      <c r="S63" s="15" t="str" cm="1">
        <f t="array" ref="S63">IFERROR(_xlfn.IFS(P63&lt;40000,"Low",P63&gt;40000&amp;80000,"Medium",P63&gt;80000,"High"),"Not available")</f>
        <v>High</v>
      </c>
      <c r="T63" s="15" t="str">
        <f t="shared" si="2"/>
        <v>NO WFH</v>
      </c>
      <c r="U63" s="15" t="str">
        <f t="shared" si="3"/>
        <v>NO WFH</v>
      </c>
      <c r="V63" s="19" t="str" cm="1">
        <f t="array" ref="V63">IFERROR(_xlfn.IFS(N63="Very Good","15% inc1",N63="Good","12%inc",N63="Average","10%inc"),"Work hard")</f>
        <v>10%inc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>Keep</v>
      </c>
      <c r="R64" s="18" t="str">
        <f t="shared" si="1"/>
        <v>Not eligible</v>
      </c>
      <c r="S64" s="15" t="str" cm="1">
        <f t="array" ref="S64">IFERROR(_xlfn.IFS(P64&lt;40000,"Low",P64&gt;40000&amp;80000,"Medium",P64&gt;80000,"High"),"Not available")</f>
        <v>Not available</v>
      </c>
      <c r="T64" s="15" t="str">
        <f t="shared" si="2"/>
        <v>NO WFH</v>
      </c>
      <c r="U64" s="15" t="str">
        <f t="shared" si="3"/>
        <v>NO WFH</v>
      </c>
      <c r="V64" s="19" t="str" cm="1">
        <f t="array" ref="V64">IFERROR(_xlfn.IFS(N64="Very Good","15% inc1",N64="Good","12%inc",N64="Average","10%inc"),"Work hard")</f>
        <v>12%inc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>Keep</v>
      </c>
      <c r="R65" s="18" t="str">
        <f t="shared" si="1"/>
        <v>Not eligible</v>
      </c>
      <c r="S65" s="15" t="str" cm="1">
        <f t="array" ref="S65">IFERROR(_xlfn.IFS(P65&lt;40000,"Low",P65&gt;40000&amp;80000,"Medium",P65&gt;80000,"High"),"Not available")</f>
        <v>High</v>
      </c>
      <c r="T65" s="15" t="str">
        <f t="shared" si="2"/>
        <v>NO WFH</v>
      </c>
      <c r="U65" s="15" t="str">
        <f t="shared" si="3"/>
        <v>NO WFH</v>
      </c>
      <c r="V65" s="19" t="str" cm="1">
        <f t="array" ref="V65">IFERROR(_xlfn.IFS(N65="Very Good","15% inc1",N65="Good","12%inc",N65="Average","10%inc"),"Work hard")</f>
        <v>Work hard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>Keep</v>
      </c>
      <c r="R66" s="18" t="str">
        <f t="shared" si="1"/>
        <v>Not eligible</v>
      </c>
      <c r="S66" s="15" t="str" cm="1">
        <f t="array" ref="S66">IFERROR(_xlfn.IFS(P66&lt;40000,"Low",P66&gt;40000&amp;80000,"Medium",P66&gt;80000,"High"),"Not available")</f>
        <v>Low</v>
      </c>
      <c r="T66" s="15" t="str">
        <f t="shared" si="2"/>
        <v>NO WFH</v>
      </c>
      <c r="U66" s="15" t="str">
        <f t="shared" si="3"/>
        <v>WFH</v>
      </c>
      <c r="V66" s="19" t="str" cm="1">
        <f t="array" ref="V66">IFERROR(_xlfn.IFS(N66="Very Good","15% inc1",N66="Good","12%inc",N66="Average","10%inc"),"Work hard")</f>
        <v>Work hard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>Keep</v>
      </c>
      <c r="R67" s="18" t="str">
        <f t="shared" si="1"/>
        <v>Not eligible</v>
      </c>
      <c r="S67" s="15" t="str" cm="1">
        <f t="array" ref="S67">IFERROR(_xlfn.IFS(P67&lt;40000,"Low",P67&gt;40000&amp;80000,"Medium",P67&gt;80000,"High"),"Not available")</f>
        <v>High</v>
      </c>
      <c r="T67" s="15" t="str">
        <f t="shared" si="2"/>
        <v>NO WFH</v>
      </c>
      <c r="U67" s="15" t="str">
        <f t="shared" si="3"/>
        <v>NO WFH</v>
      </c>
      <c r="V67" s="19" t="str" cm="1">
        <f t="array" ref="V67">IFERROR(_xlfn.IFS(N67="Very Good","15% inc1",N67="Good","12%inc",N67="Average","10%inc"),"Work hard")</f>
        <v>10%inc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>Keep</v>
      </c>
      <c r="R68" s="18" t="str">
        <f t="shared" si="1"/>
        <v>Not eligible</v>
      </c>
      <c r="S68" s="15" t="str" cm="1">
        <f t="array" ref="S68">IFERROR(_xlfn.IFS(P68&lt;40000,"Low",P68&gt;40000&amp;80000,"Medium",P68&gt;80000,"High"),"Not available")</f>
        <v>High</v>
      </c>
      <c r="T68" s="15" t="str">
        <f t="shared" si="2"/>
        <v>NO WFH</v>
      </c>
      <c r="U68" s="15" t="str">
        <f t="shared" si="3"/>
        <v>NO WFH</v>
      </c>
      <c r="V68" s="19" t="str" cm="1">
        <f t="array" ref="V68">IFERROR(_xlfn.IFS(N68="Very Good","15% inc1",N68="Good","12%inc",N68="Average","10%inc"),"Work hard")</f>
        <v>12%inc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4">IF(N69="Very Poor","Terminate","Keep")</f>
        <v>Keep</v>
      </c>
      <c r="R69" s="18" t="str">
        <f t="shared" ref="R69:R132" si="5">IF(N69="Very Good","5% Bonus","Not eligible")</f>
        <v>5% Bonus</v>
      </c>
      <c r="S69" s="15" t="str" cm="1">
        <f t="array" ref="S69">IFERROR(_xlfn.IFS(P69&lt;40000,"Low",P69&gt;40000&amp;80000,"Medium",P69&gt;80000,"High"),"Not available")</f>
        <v>High</v>
      </c>
      <c r="T69" s="15" t="str">
        <f t="shared" ref="T69:T132" si="6">IF(AND(I69="Mumbai",L69="HR"),"WFH","NO WFH")</f>
        <v>NO WFH</v>
      </c>
      <c r="U69" s="15" t="str">
        <f t="shared" ref="U69:U132" si="7">IF(OR(L69="Finance",L69="HR"),"WFH","NO WFH")</f>
        <v>WFH</v>
      </c>
      <c r="V69" s="19" t="str" cm="1">
        <f t="array" ref="V69">IFERROR(_xlfn.IFS(N69="Very Good","15% inc1",N69="Good","12%inc",N69="Average","10%inc"),"Work hard")</f>
        <v>15% inc1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4"/>
        <v>Keep</v>
      </c>
      <c r="R70" s="18" t="str">
        <f t="shared" si="5"/>
        <v>Not eligible</v>
      </c>
      <c r="S70" s="15" t="str" cm="1">
        <f t="array" ref="S70">IFERROR(_xlfn.IFS(P70&lt;40000,"Low",P70&gt;40000&amp;80000,"Medium",P70&gt;80000,"High"),"Not available")</f>
        <v>High</v>
      </c>
      <c r="T70" s="15" t="str">
        <f t="shared" si="6"/>
        <v>NO WFH</v>
      </c>
      <c r="U70" s="15" t="str">
        <f t="shared" si="7"/>
        <v>NO WFH</v>
      </c>
      <c r="V70" s="19" t="str" cm="1">
        <f t="array" ref="V70">IFERROR(_xlfn.IFS(N70="Very Good","15% inc1",N70="Good","12%inc",N70="Average","10%inc"),"Work hard")</f>
        <v>12%inc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4"/>
        <v>Keep</v>
      </c>
      <c r="R71" s="18" t="str">
        <f t="shared" si="5"/>
        <v>Not eligible</v>
      </c>
      <c r="S71" s="15" t="str" cm="1">
        <f t="array" ref="S71">IFERROR(_xlfn.IFS(P71&lt;40000,"Low",P71&gt;40000&amp;80000,"Medium",P71&gt;80000,"High"),"Not available")</f>
        <v>High</v>
      </c>
      <c r="T71" s="15" t="str">
        <f t="shared" si="6"/>
        <v>NO WFH</v>
      </c>
      <c r="U71" s="15" t="str">
        <f t="shared" si="7"/>
        <v>WFH</v>
      </c>
      <c r="V71" s="19" t="str" cm="1">
        <f t="array" ref="V71">IFERROR(_xlfn.IFS(N71="Very Good","15% inc1",N71="Good","12%inc",N71="Average","10%inc"),"Work hard")</f>
        <v>10%inc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4"/>
        <v>Keep</v>
      </c>
      <c r="R72" s="18" t="str">
        <f t="shared" si="5"/>
        <v>Not eligible</v>
      </c>
      <c r="S72" s="15" t="str" cm="1">
        <f t="array" ref="S72">IFERROR(_xlfn.IFS(P72&lt;40000,"Low",P72&gt;40000&amp;80000,"Medium",P72&gt;80000,"High"),"Not available")</f>
        <v>High</v>
      </c>
      <c r="T72" s="15" t="str">
        <f t="shared" si="6"/>
        <v>NO WFH</v>
      </c>
      <c r="U72" s="15" t="str">
        <f t="shared" si="7"/>
        <v>NO WFH</v>
      </c>
      <c r="V72" s="19" t="str" cm="1">
        <f t="array" ref="V72">IFERROR(_xlfn.IFS(N72="Very Good","15% inc1",N72="Good","12%inc",N72="Average","10%inc"),"Work hard")</f>
        <v>Work hard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4"/>
        <v>Terminate</v>
      </c>
      <c r="R73" s="18" t="str">
        <f t="shared" si="5"/>
        <v>Not eligible</v>
      </c>
      <c r="S73" s="15" t="str" cm="1">
        <f t="array" ref="S73">IFERROR(_xlfn.IFS(P73&lt;40000,"Low",P73&gt;40000&amp;80000,"Medium",P73&gt;80000,"High"),"Not available")</f>
        <v>High</v>
      </c>
      <c r="T73" s="15" t="str">
        <f t="shared" si="6"/>
        <v>NO WFH</v>
      </c>
      <c r="U73" s="15" t="str">
        <f t="shared" si="7"/>
        <v>NO WFH</v>
      </c>
      <c r="V73" s="19" t="str" cm="1">
        <f t="array" ref="V73">IFERROR(_xlfn.IFS(N73="Very Good","15% inc1",N73="Good","12%inc",N73="Average","10%inc"),"Work hard")</f>
        <v>Work hard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4"/>
        <v>Keep</v>
      </c>
      <c r="R74" s="18" t="str">
        <f t="shared" si="5"/>
        <v>Not eligible</v>
      </c>
      <c r="S74" s="15" t="str" cm="1">
        <f t="array" ref="S74">IFERROR(_xlfn.IFS(P74&lt;40000,"Low",P74&gt;40000&amp;80000,"Medium",P74&gt;80000,"High"),"Not available")</f>
        <v>High</v>
      </c>
      <c r="T74" s="15" t="str">
        <f t="shared" si="6"/>
        <v>NO WFH</v>
      </c>
      <c r="U74" s="15" t="str">
        <f t="shared" si="7"/>
        <v>NO WFH</v>
      </c>
      <c r="V74" s="19" t="str" cm="1">
        <f t="array" ref="V74">IFERROR(_xlfn.IFS(N74="Very Good","15% inc1",N74="Good","12%inc",N74="Average","10%inc"),"Work hard")</f>
        <v>Work hard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4"/>
        <v>Keep</v>
      </c>
      <c r="R75" s="18" t="str">
        <f t="shared" si="5"/>
        <v>Not eligible</v>
      </c>
      <c r="S75" s="15" t="str" cm="1">
        <f t="array" ref="S75">IFERROR(_xlfn.IFS(P75&lt;40000,"Low",P75&gt;40000&amp;80000,"Medium",P75&gt;80000,"High"),"Not available")</f>
        <v>Not available</v>
      </c>
      <c r="T75" s="15" t="str">
        <f t="shared" si="6"/>
        <v>NO WFH</v>
      </c>
      <c r="U75" s="15" t="str">
        <f t="shared" si="7"/>
        <v>NO WFH</v>
      </c>
      <c r="V75" s="19" t="str" cm="1">
        <f t="array" ref="V75">IFERROR(_xlfn.IFS(N75="Very Good","15% inc1",N75="Good","12%inc",N75="Average","10%inc"),"Work hard")</f>
        <v>Work hard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4"/>
        <v>Keep</v>
      </c>
      <c r="R76" s="18" t="str">
        <f t="shared" si="5"/>
        <v>Not eligible</v>
      </c>
      <c r="S76" s="15" t="str" cm="1">
        <f t="array" ref="S76">IFERROR(_xlfn.IFS(P76&lt;40000,"Low",P76&gt;40000&amp;80000,"Medium",P76&gt;80000,"High"),"Not available")</f>
        <v>Low</v>
      </c>
      <c r="T76" s="15" t="str">
        <f t="shared" si="6"/>
        <v>NO WFH</v>
      </c>
      <c r="U76" s="15" t="str">
        <f t="shared" si="7"/>
        <v>NO WFH</v>
      </c>
      <c r="V76" s="19" t="str" cm="1">
        <f t="array" ref="V76">IFERROR(_xlfn.IFS(N76="Very Good","15% inc1",N76="Good","12%inc",N76="Average","10%inc"),"Work hard")</f>
        <v>12%inc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4"/>
        <v>Keep</v>
      </c>
      <c r="R77" s="18" t="str">
        <f t="shared" si="5"/>
        <v>Not eligible</v>
      </c>
      <c r="S77" s="15" t="str" cm="1">
        <f t="array" ref="S77">IFERROR(_xlfn.IFS(P77&lt;40000,"Low",P77&gt;40000&amp;80000,"Medium",P77&gt;80000,"High"),"Not available")</f>
        <v>Low</v>
      </c>
      <c r="T77" s="15" t="str">
        <f t="shared" si="6"/>
        <v>NO WFH</v>
      </c>
      <c r="U77" s="15" t="str">
        <f t="shared" si="7"/>
        <v>NO WFH</v>
      </c>
      <c r="V77" s="19" t="str" cm="1">
        <f t="array" ref="V77">IFERROR(_xlfn.IFS(N77="Very Good","15% inc1",N77="Good","12%inc",N77="Average","10%inc"),"Work hard")</f>
        <v>Work hard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4"/>
        <v>Keep</v>
      </c>
      <c r="R78" s="18" t="str">
        <f t="shared" si="5"/>
        <v>Not eligible</v>
      </c>
      <c r="S78" s="15" t="str" cm="1">
        <f t="array" ref="S78">IFERROR(_xlfn.IFS(P78&lt;40000,"Low",P78&gt;40000&amp;80000,"Medium",P78&gt;80000,"High"),"Not available")</f>
        <v>Low</v>
      </c>
      <c r="T78" s="15" t="str">
        <f t="shared" si="6"/>
        <v>NO WFH</v>
      </c>
      <c r="U78" s="15" t="str">
        <f t="shared" si="7"/>
        <v>NO WFH</v>
      </c>
      <c r="V78" s="19" t="str" cm="1">
        <f t="array" ref="V78">IFERROR(_xlfn.IFS(N78="Very Good","15% inc1",N78="Good","12%inc",N78="Average","10%inc"),"Work hard")</f>
        <v>12%inc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4"/>
        <v>Terminate</v>
      </c>
      <c r="R79" s="18" t="str">
        <f t="shared" si="5"/>
        <v>Not eligible</v>
      </c>
      <c r="S79" s="15" t="str" cm="1">
        <f t="array" ref="S79">IFERROR(_xlfn.IFS(P79&lt;40000,"Low",P79&gt;40000&amp;80000,"Medium",P79&gt;80000,"High"),"Not available")</f>
        <v>High</v>
      </c>
      <c r="T79" s="15" t="str">
        <f t="shared" si="6"/>
        <v>NO WFH</v>
      </c>
      <c r="U79" s="15" t="str">
        <f t="shared" si="7"/>
        <v>NO WFH</v>
      </c>
      <c r="V79" s="19" t="str" cm="1">
        <f t="array" ref="V79">IFERROR(_xlfn.IFS(N79="Very Good","15% inc1",N79="Good","12%inc",N79="Average","10%inc"),"Work hard")</f>
        <v>Work hard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4"/>
        <v>Keep</v>
      </c>
      <c r="R80" s="18" t="str">
        <f t="shared" si="5"/>
        <v>5% Bonus</v>
      </c>
      <c r="S80" s="15" t="str" cm="1">
        <f t="array" ref="S80">IFERROR(_xlfn.IFS(P80&lt;40000,"Low",P80&gt;40000&amp;80000,"Medium",P80&gt;80000,"High"),"Not available")</f>
        <v>Not available</v>
      </c>
      <c r="T80" s="15" t="str">
        <f t="shared" si="6"/>
        <v>NO WFH</v>
      </c>
      <c r="U80" s="15" t="str">
        <f t="shared" si="7"/>
        <v>WFH</v>
      </c>
      <c r="V80" s="19" t="str" cm="1">
        <f t="array" ref="V80">IFERROR(_xlfn.IFS(N80="Very Good","15% inc1",N80="Good","12%inc",N80="Average","10%inc"),"Work hard")</f>
        <v>15% inc1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4"/>
        <v>Terminate</v>
      </c>
      <c r="R81" s="18" t="str">
        <f t="shared" si="5"/>
        <v>Not eligible</v>
      </c>
      <c r="S81" s="15" t="str" cm="1">
        <f t="array" ref="S81">IFERROR(_xlfn.IFS(P81&lt;40000,"Low",P81&gt;40000&amp;80000,"Medium",P81&gt;80000,"High"),"Not available")</f>
        <v>High</v>
      </c>
      <c r="T81" s="15" t="str">
        <f t="shared" si="6"/>
        <v>NO WFH</v>
      </c>
      <c r="U81" s="15" t="str">
        <f t="shared" si="7"/>
        <v>NO WFH</v>
      </c>
      <c r="V81" s="19" t="str" cm="1">
        <f t="array" ref="V81">IFERROR(_xlfn.IFS(N81="Very Good","15% inc1",N81="Good","12%inc",N81="Average","10%inc"),"Work hard")</f>
        <v>Work hard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4"/>
        <v>Terminate</v>
      </c>
      <c r="R82" s="18" t="str">
        <f t="shared" si="5"/>
        <v>Not eligible</v>
      </c>
      <c r="S82" s="15" t="str" cm="1">
        <f t="array" ref="S82">IFERROR(_xlfn.IFS(P82&lt;40000,"Low",P82&gt;40000&amp;80000,"Medium",P82&gt;80000,"High"),"Not available")</f>
        <v>High</v>
      </c>
      <c r="T82" s="15" t="str">
        <f t="shared" si="6"/>
        <v>NO WFH</v>
      </c>
      <c r="U82" s="15" t="str">
        <f t="shared" si="7"/>
        <v>NO WFH</v>
      </c>
      <c r="V82" s="19" t="str" cm="1">
        <f t="array" ref="V82">IFERROR(_xlfn.IFS(N82="Very Good","15% inc1",N82="Good","12%inc",N82="Average","10%inc"),"Work hard")</f>
        <v>Work hard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4"/>
        <v>Keep</v>
      </c>
      <c r="R83" s="18" t="str">
        <f t="shared" si="5"/>
        <v>5% Bonus</v>
      </c>
      <c r="S83" s="15" t="str" cm="1">
        <f t="array" ref="S83">IFERROR(_xlfn.IFS(P83&lt;40000,"Low",P83&gt;40000&amp;80000,"Medium",P83&gt;80000,"High"),"Not available")</f>
        <v>High</v>
      </c>
      <c r="T83" s="15" t="str">
        <f t="shared" si="6"/>
        <v>NO WFH</v>
      </c>
      <c r="U83" s="15" t="str">
        <f t="shared" si="7"/>
        <v>WFH</v>
      </c>
      <c r="V83" s="19" t="str" cm="1">
        <f t="array" ref="V83">IFERROR(_xlfn.IFS(N83="Very Good","15% inc1",N83="Good","12%inc",N83="Average","10%inc"),"Work hard")</f>
        <v>15% inc1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4"/>
        <v>Keep</v>
      </c>
      <c r="R84" s="18" t="str">
        <f t="shared" si="5"/>
        <v>Not eligible</v>
      </c>
      <c r="S84" s="15" t="str" cm="1">
        <f t="array" ref="S84">IFERROR(_xlfn.IFS(P84&lt;40000,"Low",P84&gt;40000&amp;80000,"Medium",P84&gt;80000,"High"),"Not available")</f>
        <v>High</v>
      </c>
      <c r="T84" s="15" t="str">
        <f t="shared" si="6"/>
        <v>NO WFH</v>
      </c>
      <c r="U84" s="15" t="str">
        <f t="shared" si="7"/>
        <v>NO WFH</v>
      </c>
      <c r="V84" s="19" t="str" cm="1">
        <f t="array" ref="V84">IFERROR(_xlfn.IFS(N84="Very Good","15% inc1",N84="Good","12%inc",N84="Average","10%inc"),"Work hard")</f>
        <v>Work hard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4"/>
        <v>Keep</v>
      </c>
      <c r="R85" s="18" t="str">
        <f t="shared" si="5"/>
        <v>Not eligible</v>
      </c>
      <c r="S85" s="15" t="str" cm="1">
        <f t="array" ref="S85">IFERROR(_xlfn.IFS(P85&lt;40000,"Low",P85&gt;40000&amp;80000,"Medium",P85&gt;80000,"High"),"Not available")</f>
        <v>High</v>
      </c>
      <c r="T85" s="15" t="str">
        <f t="shared" si="6"/>
        <v>NO WFH</v>
      </c>
      <c r="U85" s="15" t="str">
        <f t="shared" si="7"/>
        <v>WFH</v>
      </c>
      <c r="V85" s="19" t="str" cm="1">
        <f t="array" ref="V85">IFERROR(_xlfn.IFS(N85="Very Good","15% inc1",N85="Good","12%inc",N85="Average","10%inc"),"Work hard")</f>
        <v>12%inc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4"/>
        <v>Keep</v>
      </c>
      <c r="R86" s="18" t="str">
        <f t="shared" si="5"/>
        <v>Not eligible</v>
      </c>
      <c r="S86" s="15" t="str" cm="1">
        <f t="array" ref="S86">IFERROR(_xlfn.IFS(P86&lt;40000,"Low",P86&gt;40000&amp;80000,"Medium",P86&gt;80000,"High"),"Not available")</f>
        <v>Low</v>
      </c>
      <c r="T86" s="15" t="str">
        <f t="shared" si="6"/>
        <v>NO WFH</v>
      </c>
      <c r="U86" s="15" t="str">
        <f t="shared" si="7"/>
        <v>NO WFH</v>
      </c>
      <c r="V86" s="19" t="str" cm="1">
        <f t="array" ref="V86">IFERROR(_xlfn.IFS(N86="Very Good","15% inc1",N86="Good","12%inc",N86="Average","10%inc"),"Work hard")</f>
        <v>10%inc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4"/>
        <v>Keep</v>
      </c>
      <c r="R87" s="18" t="str">
        <f t="shared" si="5"/>
        <v>Not eligible</v>
      </c>
      <c r="S87" s="15" t="str" cm="1">
        <f t="array" ref="S87">IFERROR(_xlfn.IFS(P87&lt;40000,"Low",P87&gt;40000&amp;80000,"Medium",P87&gt;80000,"High"),"Not available")</f>
        <v>Not available</v>
      </c>
      <c r="T87" s="15" t="str">
        <f t="shared" si="6"/>
        <v>NO WFH</v>
      </c>
      <c r="U87" s="15" t="str">
        <f t="shared" si="7"/>
        <v>WFH</v>
      </c>
      <c r="V87" s="19" t="str" cm="1">
        <f t="array" ref="V87">IFERROR(_xlfn.IFS(N87="Very Good","15% inc1",N87="Good","12%inc",N87="Average","10%inc"),"Work hard")</f>
        <v>12%inc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4"/>
        <v>Keep</v>
      </c>
      <c r="R88" s="18" t="str">
        <f t="shared" si="5"/>
        <v>Not eligible</v>
      </c>
      <c r="S88" s="15" t="str" cm="1">
        <f t="array" ref="S88">IFERROR(_xlfn.IFS(P88&lt;40000,"Low",P88&gt;40000&amp;80000,"Medium",P88&gt;80000,"High"),"Not available")</f>
        <v>High</v>
      </c>
      <c r="T88" s="15" t="str">
        <f t="shared" si="6"/>
        <v>NO WFH</v>
      </c>
      <c r="U88" s="15" t="str">
        <f t="shared" si="7"/>
        <v>NO WFH</v>
      </c>
      <c r="V88" s="19" t="str" cm="1">
        <f t="array" ref="V88">IFERROR(_xlfn.IFS(N88="Very Good","15% inc1",N88="Good","12%inc",N88="Average","10%inc"),"Work hard")</f>
        <v>12%inc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4"/>
        <v>Keep</v>
      </c>
      <c r="R89" s="18" t="str">
        <f t="shared" si="5"/>
        <v>Not eligible</v>
      </c>
      <c r="S89" s="15" t="str" cm="1">
        <f t="array" ref="S89">IFERROR(_xlfn.IFS(P89&lt;40000,"Low",P89&gt;40000&amp;80000,"Medium",P89&gt;80000,"High"),"Not available")</f>
        <v>High</v>
      </c>
      <c r="T89" s="15" t="str">
        <f t="shared" si="6"/>
        <v>NO WFH</v>
      </c>
      <c r="U89" s="15" t="str">
        <f t="shared" si="7"/>
        <v>WFH</v>
      </c>
      <c r="V89" s="19" t="str" cm="1">
        <f t="array" ref="V89">IFERROR(_xlfn.IFS(N89="Very Good","15% inc1",N89="Good","12%inc",N89="Average","10%inc"),"Work hard")</f>
        <v>Work hard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4"/>
        <v>Keep</v>
      </c>
      <c r="R90" s="18" t="str">
        <f t="shared" si="5"/>
        <v>Not eligible</v>
      </c>
      <c r="S90" s="15" t="str" cm="1">
        <f t="array" ref="S90">IFERROR(_xlfn.IFS(P90&lt;40000,"Low",P90&gt;40000&amp;80000,"Medium",P90&gt;80000,"High"),"Not available")</f>
        <v>Not available</v>
      </c>
      <c r="T90" s="15" t="str">
        <f t="shared" si="6"/>
        <v>NO WFH</v>
      </c>
      <c r="U90" s="15" t="str">
        <f t="shared" si="7"/>
        <v>NO WFH</v>
      </c>
      <c r="V90" s="19" t="str" cm="1">
        <f t="array" ref="V90">IFERROR(_xlfn.IFS(N90="Very Good","15% inc1",N90="Good","12%inc",N90="Average","10%inc"),"Work hard")</f>
        <v>10%inc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4"/>
        <v>Terminate</v>
      </c>
      <c r="R91" s="18" t="str">
        <f t="shared" si="5"/>
        <v>Not eligible</v>
      </c>
      <c r="S91" s="15" t="str" cm="1">
        <f t="array" ref="S91">IFERROR(_xlfn.IFS(P91&lt;40000,"Low",P91&gt;40000&amp;80000,"Medium",P91&gt;80000,"High"),"Not available")</f>
        <v>High</v>
      </c>
      <c r="T91" s="15" t="str">
        <f t="shared" si="6"/>
        <v>NO WFH</v>
      </c>
      <c r="U91" s="15" t="str">
        <f t="shared" si="7"/>
        <v>WFH</v>
      </c>
      <c r="V91" s="19" t="str" cm="1">
        <f t="array" ref="V91">IFERROR(_xlfn.IFS(N91="Very Good","15% inc1",N91="Good","12%inc",N91="Average","10%inc"),"Work hard")</f>
        <v>Work hard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4"/>
        <v>Keep</v>
      </c>
      <c r="R92" s="18" t="str">
        <f t="shared" si="5"/>
        <v>Not eligible</v>
      </c>
      <c r="S92" s="15" t="str" cm="1">
        <f t="array" ref="S92">IFERROR(_xlfn.IFS(P92&lt;40000,"Low",P92&gt;40000&amp;80000,"Medium",P92&gt;80000,"High"),"Not available")</f>
        <v>High</v>
      </c>
      <c r="T92" s="15" t="str">
        <f t="shared" si="6"/>
        <v>NO WFH</v>
      </c>
      <c r="U92" s="15" t="str">
        <f t="shared" si="7"/>
        <v>NO WFH</v>
      </c>
      <c r="V92" s="19" t="str" cm="1">
        <f t="array" ref="V92">IFERROR(_xlfn.IFS(N92="Very Good","15% inc1",N92="Good","12%inc",N92="Average","10%inc"),"Work hard")</f>
        <v>Work hard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4"/>
        <v>Terminate</v>
      </c>
      <c r="R93" s="18" t="str">
        <f t="shared" si="5"/>
        <v>Not eligible</v>
      </c>
      <c r="S93" s="15" t="str" cm="1">
        <f t="array" ref="S93">IFERROR(_xlfn.IFS(P93&lt;40000,"Low",P93&gt;40000&amp;80000,"Medium",P93&gt;80000,"High"),"Not available")</f>
        <v>High</v>
      </c>
      <c r="T93" s="15" t="str">
        <f t="shared" si="6"/>
        <v>NO WFH</v>
      </c>
      <c r="U93" s="15" t="str">
        <f t="shared" si="7"/>
        <v>NO WFH</v>
      </c>
      <c r="V93" s="19" t="str" cm="1">
        <f t="array" ref="V93">IFERROR(_xlfn.IFS(N93="Very Good","15% inc1",N93="Good","12%inc",N93="Average","10%inc"),"Work hard")</f>
        <v>Work hard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4"/>
        <v>Keep</v>
      </c>
      <c r="R94" s="18" t="str">
        <f t="shared" si="5"/>
        <v>Not eligible</v>
      </c>
      <c r="S94" s="15" t="str" cm="1">
        <f t="array" ref="S94">IFERROR(_xlfn.IFS(P94&lt;40000,"Low",P94&gt;40000&amp;80000,"Medium",P94&gt;80000,"High"),"Not available")</f>
        <v>Not available</v>
      </c>
      <c r="T94" s="15" t="str">
        <f t="shared" si="6"/>
        <v>NO WFH</v>
      </c>
      <c r="U94" s="15" t="str">
        <f t="shared" si="7"/>
        <v>NO WFH</v>
      </c>
      <c r="V94" s="19" t="str" cm="1">
        <f t="array" ref="V94">IFERROR(_xlfn.IFS(N94="Very Good","15% inc1",N94="Good","12%inc",N94="Average","10%inc"),"Work hard")</f>
        <v>Work hard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4"/>
        <v>Keep</v>
      </c>
      <c r="R95" s="18" t="str">
        <f t="shared" si="5"/>
        <v>Not eligible</v>
      </c>
      <c r="S95" s="15" t="str" cm="1">
        <f t="array" ref="S95">IFERROR(_xlfn.IFS(P95&lt;40000,"Low",P95&gt;40000&amp;80000,"Medium",P95&gt;80000,"High"),"Not available")</f>
        <v>Low</v>
      </c>
      <c r="T95" s="15" t="str">
        <f t="shared" si="6"/>
        <v>NO WFH</v>
      </c>
      <c r="U95" s="15" t="str">
        <f t="shared" si="7"/>
        <v>WFH</v>
      </c>
      <c r="V95" s="19" t="str" cm="1">
        <f t="array" ref="V95">IFERROR(_xlfn.IFS(N95="Very Good","15% inc1",N95="Good","12%inc",N95="Average","10%inc"),"Work hard")</f>
        <v>Work hard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4"/>
        <v>Keep</v>
      </c>
      <c r="R96" s="18" t="str">
        <f t="shared" si="5"/>
        <v>Not eligible</v>
      </c>
      <c r="S96" s="15" t="str" cm="1">
        <f t="array" ref="S96">IFERROR(_xlfn.IFS(P96&lt;40000,"Low",P96&gt;40000&amp;80000,"Medium",P96&gt;80000,"High"),"Not available")</f>
        <v>High</v>
      </c>
      <c r="T96" s="15" t="str">
        <f t="shared" si="6"/>
        <v>NO WFH</v>
      </c>
      <c r="U96" s="15" t="str">
        <f t="shared" si="7"/>
        <v>WFH</v>
      </c>
      <c r="V96" s="19" t="str" cm="1">
        <f t="array" ref="V96">IFERROR(_xlfn.IFS(N96="Very Good","15% inc1",N96="Good","12%inc",N96="Average","10%inc"),"Work hard")</f>
        <v>Work hard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4"/>
        <v>Terminate</v>
      </c>
      <c r="R97" s="18" t="str">
        <f t="shared" si="5"/>
        <v>Not eligible</v>
      </c>
      <c r="S97" s="15" t="str" cm="1">
        <f t="array" ref="S97">IFERROR(_xlfn.IFS(P97&lt;40000,"Low",P97&gt;40000&amp;80000,"Medium",P97&gt;80000,"High"),"Not available")</f>
        <v>High</v>
      </c>
      <c r="T97" s="15" t="str">
        <f t="shared" si="6"/>
        <v>NO WFH</v>
      </c>
      <c r="U97" s="15" t="str">
        <f t="shared" si="7"/>
        <v>WFH</v>
      </c>
      <c r="V97" s="19" t="str" cm="1">
        <f t="array" ref="V97">IFERROR(_xlfn.IFS(N97="Very Good","15% inc1",N97="Good","12%inc",N97="Average","10%inc"),"Work hard")</f>
        <v>Work hard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4"/>
        <v>Keep</v>
      </c>
      <c r="R98" s="18" t="str">
        <f t="shared" si="5"/>
        <v>5% Bonus</v>
      </c>
      <c r="S98" s="15" t="str" cm="1">
        <f t="array" ref="S98">IFERROR(_xlfn.IFS(P98&lt;40000,"Low",P98&gt;40000&amp;80000,"Medium",P98&gt;80000,"High"),"Not available")</f>
        <v>Not available</v>
      </c>
      <c r="T98" s="15" t="str">
        <f t="shared" si="6"/>
        <v>NO WFH</v>
      </c>
      <c r="U98" s="15" t="str">
        <f t="shared" si="7"/>
        <v>NO WFH</v>
      </c>
      <c r="V98" s="19" t="str" cm="1">
        <f t="array" ref="V98">IFERROR(_xlfn.IFS(N98="Very Good","15% inc1",N98="Good","12%inc",N98="Average","10%inc"),"Work hard")</f>
        <v>15% inc1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4"/>
        <v>Keep</v>
      </c>
      <c r="R99" s="18" t="str">
        <f t="shared" si="5"/>
        <v>5% Bonus</v>
      </c>
      <c r="S99" s="15" t="str" cm="1">
        <f t="array" ref="S99">IFERROR(_xlfn.IFS(P99&lt;40000,"Low",P99&gt;40000&amp;80000,"Medium",P99&gt;80000,"High"),"Not available")</f>
        <v>High</v>
      </c>
      <c r="T99" s="15" t="str">
        <f t="shared" si="6"/>
        <v>NO WFH</v>
      </c>
      <c r="U99" s="15" t="str">
        <f t="shared" si="7"/>
        <v>NO WFH</v>
      </c>
      <c r="V99" s="19" t="str" cm="1">
        <f t="array" ref="V99">IFERROR(_xlfn.IFS(N99="Very Good","15% inc1",N99="Good","12%inc",N99="Average","10%inc"),"Work hard")</f>
        <v>15% inc1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4"/>
        <v>Terminate</v>
      </c>
      <c r="R100" s="18" t="str">
        <f t="shared" si="5"/>
        <v>Not eligible</v>
      </c>
      <c r="S100" s="15" t="str" cm="1">
        <f t="array" ref="S100">IFERROR(_xlfn.IFS(P100&lt;40000,"Low",P100&gt;40000&amp;80000,"Medium",P100&gt;80000,"High"),"Not available")</f>
        <v>High</v>
      </c>
      <c r="T100" s="15" t="str">
        <f t="shared" si="6"/>
        <v>NO WFH</v>
      </c>
      <c r="U100" s="15" t="str">
        <f t="shared" si="7"/>
        <v>NO WFH</v>
      </c>
      <c r="V100" s="19" t="str" cm="1">
        <f t="array" ref="V100">IFERROR(_xlfn.IFS(N100="Very Good","15% inc1",N100="Good","12%inc",N100="Average","10%inc"),"Work hard")</f>
        <v>Work hard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4"/>
        <v>Terminate</v>
      </c>
      <c r="R101" s="18" t="str">
        <f t="shared" si="5"/>
        <v>Not eligible</v>
      </c>
      <c r="S101" s="15" t="str" cm="1">
        <f t="array" ref="S101">IFERROR(_xlfn.IFS(P101&lt;40000,"Low",P101&gt;40000&amp;80000,"Medium",P101&gt;80000,"High"),"Not available")</f>
        <v>High</v>
      </c>
      <c r="T101" s="15" t="str">
        <f t="shared" si="6"/>
        <v>NO WFH</v>
      </c>
      <c r="U101" s="15" t="str">
        <f t="shared" si="7"/>
        <v>WFH</v>
      </c>
      <c r="V101" s="19" t="str" cm="1">
        <f t="array" ref="V101">IFERROR(_xlfn.IFS(N101="Very Good","15% inc1",N101="Good","12%inc",N101="Average","10%inc"),"Work hard")</f>
        <v>Work hard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4"/>
        <v>Keep</v>
      </c>
      <c r="R102" s="18" t="str">
        <f t="shared" si="5"/>
        <v>5% Bonus</v>
      </c>
      <c r="S102" s="15" t="str" cm="1">
        <f t="array" ref="S102">IFERROR(_xlfn.IFS(P102&lt;40000,"Low",P102&gt;40000&amp;80000,"Medium",P102&gt;80000,"High"),"Not available")</f>
        <v>High</v>
      </c>
      <c r="T102" s="15" t="str">
        <f t="shared" si="6"/>
        <v>WFH</v>
      </c>
      <c r="U102" s="15" t="str">
        <f t="shared" si="7"/>
        <v>WFH</v>
      </c>
      <c r="V102" s="19" t="str" cm="1">
        <f t="array" ref="V102">IFERROR(_xlfn.IFS(N102="Very Good","15% inc1",N102="Good","12%inc",N102="Average","10%inc"),"Work hard")</f>
        <v>15% inc1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4"/>
        <v>Keep</v>
      </c>
      <c r="R103" s="18" t="str">
        <f t="shared" si="5"/>
        <v>Not eligible</v>
      </c>
      <c r="S103" s="15" t="str" cm="1">
        <f t="array" ref="S103">IFERROR(_xlfn.IFS(P103&lt;40000,"Low",P103&gt;40000&amp;80000,"Medium",P103&gt;80000,"High"),"Not available")</f>
        <v>Low</v>
      </c>
      <c r="T103" s="15" t="str">
        <f t="shared" si="6"/>
        <v>NO WFH</v>
      </c>
      <c r="U103" s="15" t="str">
        <f t="shared" si="7"/>
        <v>WFH</v>
      </c>
      <c r="V103" s="19" t="str" cm="1">
        <f t="array" ref="V103">IFERROR(_xlfn.IFS(N103="Very Good","15% inc1",N103="Good","12%inc",N103="Average","10%inc"),"Work hard")</f>
        <v>Work hard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4"/>
        <v>Terminate</v>
      </c>
      <c r="R104" s="18" t="str">
        <f t="shared" si="5"/>
        <v>Not eligible</v>
      </c>
      <c r="S104" s="15" t="str" cm="1">
        <f t="array" ref="S104">IFERROR(_xlfn.IFS(P104&lt;40000,"Low",P104&gt;40000&amp;80000,"Medium",P104&gt;80000,"High"),"Not available")</f>
        <v>High</v>
      </c>
      <c r="T104" s="15" t="str">
        <f t="shared" si="6"/>
        <v>NO WFH</v>
      </c>
      <c r="U104" s="15" t="str">
        <f t="shared" si="7"/>
        <v>NO WFH</v>
      </c>
      <c r="V104" s="19" t="str" cm="1">
        <f t="array" ref="V104">IFERROR(_xlfn.IFS(N104="Very Good","15% inc1",N104="Good","12%inc",N104="Average","10%inc"),"Work hard")</f>
        <v>Work hard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4"/>
        <v>Keep</v>
      </c>
      <c r="R105" s="18" t="str">
        <f t="shared" si="5"/>
        <v>Not eligible</v>
      </c>
      <c r="S105" s="15" t="str" cm="1">
        <f t="array" ref="S105">IFERROR(_xlfn.IFS(P105&lt;40000,"Low",P105&gt;40000&amp;80000,"Medium",P105&gt;80000,"High"),"Not available")</f>
        <v>High</v>
      </c>
      <c r="T105" s="15" t="str">
        <f t="shared" si="6"/>
        <v>NO WFH</v>
      </c>
      <c r="U105" s="15" t="str">
        <f t="shared" si="7"/>
        <v>NO WFH</v>
      </c>
      <c r="V105" s="19" t="str" cm="1">
        <f t="array" ref="V105">IFERROR(_xlfn.IFS(N105="Very Good","15% inc1",N105="Good","12%inc",N105="Average","10%inc"),"Work hard")</f>
        <v>Work hard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4"/>
        <v>Keep</v>
      </c>
      <c r="R106" s="18" t="str">
        <f t="shared" si="5"/>
        <v>Not eligible</v>
      </c>
      <c r="S106" s="15" t="str" cm="1">
        <f t="array" ref="S106">IFERROR(_xlfn.IFS(P106&lt;40000,"Low",P106&gt;40000&amp;80000,"Medium",P106&gt;80000,"High"),"Not available")</f>
        <v>Not available</v>
      </c>
      <c r="T106" s="15" t="str">
        <f t="shared" si="6"/>
        <v>NO WFH</v>
      </c>
      <c r="U106" s="15" t="str">
        <f t="shared" si="7"/>
        <v>WFH</v>
      </c>
      <c r="V106" s="19" t="str" cm="1">
        <f t="array" ref="V106">IFERROR(_xlfn.IFS(N106="Very Good","15% inc1",N106="Good","12%inc",N106="Average","10%inc"),"Work hard")</f>
        <v>12%inc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4"/>
        <v>Keep</v>
      </c>
      <c r="R107" s="18" t="str">
        <f t="shared" si="5"/>
        <v>5% Bonus</v>
      </c>
      <c r="S107" s="15" t="str" cm="1">
        <f t="array" ref="S107">IFERROR(_xlfn.IFS(P107&lt;40000,"Low",P107&gt;40000&amp;80000,"Medium",P107&gt;80000,"High"),"Not available")</f>
        <v>Low</v>
      </c>
      <c r="T107" s="15" t="str">
        <f t="shared" si="6"/>
        <v>NO WFH</v>
      </c>
      <c r="U107" s="15" t="str">
        <f t="shared" si="7"/>
        <v>NO WFH</v>
      </c>
      <c r="V107" s="19" t="str" cm="1">
        <f t="array" ref="V107">IFERROR(_xlfn.IFS(N107="Very Good","15% inc1",N107="Good","12%inc",N107="Average","10%inc"),"Work hard")</f>
        <v>15% inc1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4"/>
        <v>Keep</v>
      </c>
      <c r="R108" s="18" t="str">
        <f t="shared" si="5"/>
        <v>Not eligible</v>
      </c>
      <c r="S108" s="15" t="str" cm="1">
        <f t="array" ref="S108">IFERROR(_xlfn.IFS(P108&lt;40000,"Low",P108&gt;40000&amp;80000,"Medium",P108&gt;80000,"High"),"Not available")</f>
        <v>Not available</v>
      </c>
      <c r="T108" s="15" t="str">
        <f t="shared" si="6"/>
        <v>WFH</v>
      </c>
      <c r="U108" s="15" t="str">
        <f t="shared" si="7"/>
        <v>WFH</v>
      </c>
      <c r="V108" s="19" t="str" cm="1">
        <f t="array" ref="V108">IFERROR(_xlfn.IFS(N108="Very Good","15% inc1",N108="Good","12%inc",N108="Average","10%inc"),"Work hard")</f>
        <v>Work hard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4"/>
        <v>Terminate</v>
      </c>
      <c r="R109" s="18" t="str">
        <f t="shared" si="5"/>
        <v>Not eligible</v>
      </c>
      <c r="S109" s="15" t="str" cm="1">
        <f t="array" ref="S109">IFERROR(_xlfn.IFS(P109&lt;40000,"Low",P109&gt;40000&amp;80000,"Medium",P109&gt;80000,"High"),"Not available")</f>
        <v>Not available</v>
      </c>
      <c r="T109" s="15" t="str">
        <f t="shared" si="6"/>
        <v>NO WFH</v>
      </c>
      <c r="U109" s="15" t="str">
        <f t="shared" si="7"/>
        <v>WFH</v>
      </c>
      <c r="V109" s="19" t="str" cm="1">
        <f t="array" ref="V109">IFERROR(_xlfn.IFS(N109="Very Good","15% inc1",N109="Good","12%inc",N109="Average","10%inc"),"Work hard")</f>
        <v>Work hard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4"/>
        <v>Keep</v>
      </c>
      <c r="R110" s="18" t="str">
        <f t="shared" si="5"/>
        <v>Not eligible</v>
      </c>
      <c r="S110" s="15" t="str" cm="1">
        <f t="array" ref="S110">IFERROR(_xlfn.IFS(P110&lt;40000,"Low",P110&gt;40000&amp;80000,"Medium",P110&gt;80000,"High"),"Not available")</f>
        <v>High</v>
      </c>
      <c r="T110" s="15" t="str">
        <f t="shared" si="6"/>
        <v>NO WFH</v>
      </c>
      <c r="U110" s="15" t="str">
        <f t="shared" si="7"/>
        <v>NO WFH</v>
      </c>
      <c r="V110" s="19" t="str" cm="1">
        <f t="array" ref="V110">IFERROR(_xlfn.IFS(N110="Very Good","15% inc1",N110="Good","12%inc",N110="Average","10%inc"),"Work hard")</f>
        <v>12%inc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4"/>
        <v>Keep</v>
      </c>
      <c r="R111" s="18" t="str">
        <f t="shared" si="5"/>
        <v>Not eligible</v>
      </c>
      <c r="S111" s="15" t="str" cm="1">
        <f t="array" ref="S111">IFERROR(_xlfn.IFS(P111&lt;40000,"Low",P111&gt;40000&amp;80000,"Medium",P111&gt;80000,"High"),"Not available")</f>
        <v>Low</v>
      </c>
      <c r="T111" s="15" t="str">
        <f t="shared" si="6"/>
        <v>NO WFH</v>
      </c>
      <c r="U111" s="15" t="str">
        <f t="shared" si="7"/>
        <v>WFH</v>
      </c>
      <c r="V111" s="19" t="str" cm="1">
        <f t="array" ref="V111">IFERROR(_xlfn.IFS(N111="Very Good","15% inc1",N111="Good","12%inc",N111="Average","10%inc"),"Work hard")</f>
        <v>Work hard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4"/>
        <v>Keep</v>
      </c>
      <c r="R112" s="18" t="str">
        <f t="shared" si="5"/>
        <v>Not eligible</v>
      </c>
      <c r="S112" s="15" t="str" cm="1">
        <f t="array" ref="S112">IFERROR(_xlfn.IFS(P112&lt;40000,"Low",P112&gt;40000&amp;80000,"Medium",P112&gt;80000,"High"),"Not available")</f>
        <v>Not available</v>
      </c>
      <c r="T112" s="15" t="str">
        <f t="shared" si="6"/>
        <v>NO WFH</v>
      </c>
      <c r="U112" s="15" t="str">
        <f t="shared" si="7"/>
        <v>NO WFH</v>
      </c>
      <c r="V112" s="19" t="str" cm="1">
        <f t="array" ref="V112">IFERROR(_xlfn.IFS(N112="Very Good","15% inc1",N112="Good","12%inc",N112="Average","10%inc"),"Work hard")</f>
        <v>12%inc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4"/>
        <v>Keep</v>
      </c>
      <c r="R113" s="18" t="str">
        <f t="shared" si="5"/>
        <v>5% Bonus</v>
      </c>
      <c r="S113" s="15" t="str" cm="1">
        <f t="array" ref="S113">IFERROR(_xlfn.IFS(P113&lt;40000,"Low",P113&gt;40000&amp;80000,"Medium",P113&gt;80000,"High"),"Not available")</f>
        <v>High</v>
      </c>
      <c r="T113" s="15" t="str">
        <f t="shared" si="6"/>
        <v>NO WFH</v>
      </c>
      <c r="U113" s="15" t="str">
        <f t="shared" si="7"/>
        <v>NO WFH</v>
      </c>
      <c r="V113" s="19" t="str" cm="1">
        <f t="array" ref="V113">IFERROR(_xlfn.IFS(N113="Very Good","15% inc1",N113="Good","12%inc",N113="Average","10%inc"),"Work hard")</f>
        <v>15% inc1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4"/>
        <v>Keep</v>
      </c>
      <c r="R114" s="18" t="str">
        <f t="shared" si="5"/>
        <v>Not eligible</v>
      </c>
      <c r="S114" s="15" t="str" cm="1">
        <f t="array" ref="S114">IFERROR(_xlfn.IFS(P114&lt;40000,"Low",P114&gt;40000&amp;80000,"Medium",P114&gt;80000,"High"),"Not available")</f>
        <v>High</v>
      </c>
      <c r="T114" s="15" t="str">
        <f t="shared" si="6"/>
        <v>NO WFH</v>
      </c>
      <c r="U114" s="15" t="str">
        <f t="shared" si="7"/>
        <v>NO WFH</v>
      </c>
      <c r="V114" s="19" t="str" cm="1">
        <f t="array" ref="V114">IFERROR(_xlfn.IFS(N114="Very Good","15% inc1",N114="Good","12%inc",N114="Average","10%inc"),"Work hard")</f>
        <v>10%inc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4"/>
        <v>Keep</v>
      </c>
      <c r="R115" s="18" t="str">
        <f t="shared" si="5"/>
        <v>5% Bonus</v>
      </c>
      <c r="S115" s="15" t="str" cm="1">
        <f t="array" ref="S115">IFERROR(_xlfn.IFS(P115&lt;40000,"Low",P115&gt;40000&amp;80000,"Medium",P115&gt;80000,"High"),"Not available")</f>
        <v>High</v>
      </c>
      <c r="T115" s="15" t="str">
        <f t="shared" si="6"/>
        <v>NO WFH</v>
      </c>
      <c r="U115" s="15" t="str">
        <f t="shared" si="7"/>
        <v>NO WFH</v>
      </c>
      <c r="V115" s="19" t="str" cm="1">
        <f t="array" ref="V115">IFERROR(_xlfn.IFS(N115="Very Good","15% inc1",N115="Good","12%inc",N115="Average","10%inc"),"Work hard")</f>
        <v>15% inc1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4"/>
        <v>Keep</v>
      </c>
      <c r="R116" s="18" t="str">
        <f t="shared" si="5"/>
        <v>Not eligible</v>
      </c>
      <c r="S116" s="15" t="str" cm="1">
        <f t="array" ref="S116">IFERROR(_xlfn.IFS(P116&lt;40000,"Low",P116&gt;40000&amp;80000,"Medium",P116&gt;80000,"High"),"Not available")</f>
        <v>Low</v>
      </c>
      <c r="T116" s="15" t="str">
        <f t="shared" si="6"/>
        <v>NO WFH</v>
      </c>
      <c r="U116" s="15" t="str">
        <f t="shared" si="7"/>
        <v>WFH</v>
      </c>
      <c r="V116" s="19" t="str" cm="1">
        <f t="array" ref="V116">IFERROR(_xlfn.IFS(N116="Very Good","15% inc1",N116="Good","12%inc",N116="Average","10%inc"),"Work hard")</f>
        <v>10%inc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4"/>
        <v>Keep</v>
      </c>
      <c r="R117" s="18" t="str">
        <f t="shared" si="5"/>
        <v>Not eligible</v>
      </c>
      <c r="S117" s="15" t="str" cm="1">
        <f t="array" ref="S117">IFERROR(_xlfn.IFS(P117&lt;40000,"Low",P117&gt;40000&amp;80000,"Medium",P117&gt;80000,"High"),"Not available")</f>
        <v>High</v>
      </c>
      <c r="T117" s="15" t="str">
        <f t="shared" si="6"/>
        <v>NO WFH</v>
      </c>
      <c r="U117" s="15" t="str">
        <f t="shared" si="7"/>
        <v>NO WFH</v>
      </c>
      <c r="V117" s="19" t="str" cm="1">
        <f t="array" ref="V117">IFERROR(_xlfn.IFS(N117="Very Good","15% inc1",N117="Good","12%inc",N117="Average","10%inc"),"Work hard")</f>
        <v>Work hard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4"/>
        <v>Keep</v>
      </c>
      <c r="R118" s="18" t="str">
        <f t="shared" si="5"/>
        <v>5% Bonus</v>
      </c>
      <c r="S118" s="15" t="str" cm="1">
        <f t="array" ref="S118">IFERROR(_xlfn.IFS(P118&lt;40000,"Low",P118&gt;40000&amp;80000,"Medium",P118&gt;80000,"High"),"Not available")</f>
        <v>High</v>
      </c>
      <c r="T118" s="15" t="str">
        <f t="shared" si="6"/>
        <v>NO WFH</v>
      </c>
      <c r="U118" s="15" t="str">
        <f t="shared" si="7"/>
        <v>NO WFH</v>
      </c>
      <c r="V118" s="19" t="str" cm="1">
        <f t="array" ref="V118">IFERROR(_xlfn.IFS(N118="Very Good","15% inc1",N118="Good","12%inc",N118="Average","10%inc"),"Work hard")</f>
        <v>15% inc1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4"/>
        <v>Terminate</v>
      </c>
      <c r="R119" s="18" t="str">
        <f t="shared" si="5"/>
        <v>Not eligible</v>
      </c>
      <c r="S119" s="15" t="str" cm="1">
        <f t="array" ref="S119">IFERROR(_xlfn.IFS(P119&lt;40000,"Low",P119&gt;40000&amp;80000,"Medium",P119&gt;80000,"High"),"Not available")</f>
        <v>High</v>
      </c>
      <c r="T119" s="15" t="str">
        <f t="shared" si="6"/>
        <v>NO WFH</v>
      </c>
      <c r="U119" s="15" t="str">
        <f t="shared" si="7"/>
        <v>WFH</v>
      </c>
      <c r="V119" s="19" t="str" cm="1">
        <f t="array" ref="V119">IFERROR(_xlfn.IFS(N119="Very Good","15% inc1",N119="Good","12%inc",N119="Average","10%inc"),"Work hard")</f>
        <v>Work hard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4"/>
        <v>Keep</v>
      </c>
      <c r="R120" s="18" t="str">
        <f t="shared" si="5"/>
        <v>Not eligible</v>
      </c>
      <c r="S120" s="15" t="str" cm="1">
        <f t="array" ref="S120">IFERROR(_xlfn.IFS(P120&lt;40000,"Low",P120&gt;40000&amp;80000,"Medium",P120&gt;80000,"High"),"Not available")</f>
        <v>Not available</v>
      </c>
      <c r="T120" s="15" t="str">
        <f t="shared" si="6"/>
        <v>NO WFH</v>
      </c>
      <c r="U120" s="15" t="str">
        <f t="shared" si="7"/>
        <v>NO WFH</v>
      </c>
      <c r="V120" s="19" t="str" cm="1">
        <f t="array" ref="V120">IFERROR(_xlfn.IFS(N120="Very Good","15% inc1",N120="Good","12%inc",N120="Average","10%inc"),"Work hard")</f>
        <v>10%inc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4"/>
        <v>Keep</v>
      </c>
      <c r="R121" s="18" t="str">
        <f t="shared" si="5"/>
        <v>Not eligible</v>
      </c>
      <c r="S121" s="15" t="str" cm="1">
        <f t="array" ref="S121">IFERROR(_xlfn.IFS(P121&lt;40000,"Low",P121&gt;40000&amp;80000,"Medium",P121&gt;80000,"High"),"Not available")</f>
        <v>Low</v>
      </c>
      <c r="T121" s="15" t="str">
        <f t="shared" si="6"/>
        <v>NO WFH</v>
      </c>
      <c r="U121" s="15" t="str">
        <f t="shared" si="7"/>
        <v>WFH</v>
      </c>
      <c r="V121" s="19" t="str" cm="1">
        <f t="array" ref="V121">IFERROR(_xlfn.IFS(N121="Very Good","15% inc1",N121="Good","12%inc",N121="Average","10%inc"),"Work hard")</f>
        <v>Work hard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4"/>
        <v>Keep</v>
      </c>
      <c r="R122" s="18" t="str">
        <f t="shared" si="5"/>
        <v>Not eligible</v>
      </c>
      <c r="S122" s="15" t="str" cm="1">
        <f t="array" ref="S122">IFERROR(_xlfn.IFS(P122&lt;40000,"Low",P122&gt;40000&amp;80000,"Medium",P122&gt;80000,"High"),"Not available")</f>
        <v>High</v>
      </c>
      <c r="T122" s="15" t="str">
        <f t="shared" si="6"/>
        <v>NO WFH</v>
      </c>
      <c r="U122" s="15" t="str">
        <f t="shared" si="7"/>
        <v>WFH</v>
      </c>
      <c r="V122" s="19" t="str" cm="1">
        <f t="array" ref="V122">IFERROR(_xlfn.IFS(N122="Very Good","15% inc1",N122="Good","12%inc",N122="Average","10%inc"),"Work hard")</f>
        <v>Work hard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4"/>
        <v>Terminate</v>
      </c>
      <c r="R123" s="18" t="str">
        <f t="shared" si="5"/>
        <v>Not eligible</v>
      </c>
      <c r="S123" s="15" t="str" cm="1">
        <f t="array" ref="S123">IFERROR(_xlfn.IFS(P123&lt;40000,"Low",P123&gt;40000&amp;80000,"Medium",P123&gt;80000,"High"),"Not available")</f>
        <v>High</v>
      </c>
      <c r="T123" s="15" t="str">
        <f t="shared" si="6"/>
        <v>NO WFH</v>
      </c>
      <c r="U123" s="15" t="str">
        <f t="shared" si="7"/>
        <v>NO WFH</v>
      </c>
      <c r="V123" s="19" t="str" cm="1">
        <f t="array" ref="V123">IFERROR(_xlfn.IFS(N123="Very Good","15% inc1",N123="Good","12%inc",N123="Average","10%inc"),"Work hard")</f>
        <v>Work hard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4"/>
        <v>Keep</v>
      </c>
      <c r="R124" s="18" t="str">
        <f t="shared" si="5"/>
        <v>Not eligible</v>
      </c>
      <c r="S124" s="15" t="str" cm="1">
        <f t="array" ref="S124">IFERROR(_xlfn.IFS(P124&lt;40000,"Low",P124&gt;40000&amp;80000,"Medium",P124&gt;80000,"High"),"Not available")</f>
        <v>High</v>
      </c>
      <c r="T124" s="15" t="str">
        <f t="shared" si="6"/>
        <v>NO WFH</v>
      </c>
      <c r="U124" s="15" t="str">
        <f t="shared" si="7"/>
        <v>NO WFH</v>
      </c>
      <c r="V124" s="19" t="str" cm="1">
        <f t="array" ref="V124">IFERROR(_xlfn.IFS(N124="Very Good","15% inc1",N124="Good","12%inc",N124="Average","10%inc"),"Work hard")</f>
        <v>Work hard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4"/>
        <v>Keep</v>
      </c>
      <c r="R125" s="18" t="str">
        <f t="shared" si="5"/>
        <v>Not eligible</v>
      </c>
      <c r="S125" s="15" t="str" cm="1">
        <f t="array" ref="S125">IFERROR(_xlfn.IFS(P125&lt;40000,"Low",P125&gt;40000&amp;80000,"Medium",P125&gt;80000,"High"),"Not available")</f>
        <v>Low</v>
      </c>
      <c r="T125" s="15" t="str">
        <f t="shared" si="6"/>
        <v>NO WFH</v>
      </c>
      <c r="U125" s="15" t="str">
        <f t="shared" si="7"/>
        <v>WFH</v>
      </c>
      <c r="V125" s="19" t="str" cm="1">
        <f t="array" ref="V125">IFERROR(_xlfn.IFS(N125="Very Good","15% inc1",N125="Good","12%inc",N125="Average","10%inc"),"Work hard")</f>
        <v>10%inc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4"/>
        <v>Keep</v>
      </c>
      <c r="R126" s="18" t="str">
        <f t="shared" si="5"/>
        <v>Not eligible</v>
      </c>
      <c r="S126" s="15" t="str" cm="1">
        <f t="array" ref="S126">IFERROR(_xlfn.IFS(P126&lt;40000,"Low",P126&gt;40000&amp;80000,"Medium",P126&gt;80000,"High"),"Not available")</f>
        <v>Not available</v>
      </c>
      <c r="T126" s="15" t="str">
        <f t="shared" si="6"/>
        <v>NO WFH</v>
      </c>
      <c r="U126" s="15" t="str">
        <f t="shared" si="7"/>
        <v>NO WFH</v>
      </c>
      <c r="V126" s="19" t="str" cm="1">
        <f t="array" ref="V126">IFERROR(_xlfn.IFS(N126="Very Good","15% inc1",N126="Good","12%inc",N126="Average","10%inc"),"Work hard")</f>
        <v>10%inc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4"/>
        <v>Keep</v>
      </c>
      <c r="R127" s="18" t="str">
        <f t="shared" si="5"/>
        <v>Not eligible</v>
      </c>
      <c r="S127" s="15" t="str" cm="1">
        <f t="array" ref="S127">IFERROR(_xlfn.IFS(P127&lt;40000,"Low",P127&gt;40000&amp;80000,"Medium",P127&gt;80000,"High"),"Not available")</f>
        <v>Not available</v>
      </c>
      <c r="T127" s="15" t="str">
        <f t="shared" si="6"/>
        <v>NO WFH</v>
      </c>
      <c r="U127" s="15" t="str">
        <f t="shared" si="7"/>
        <v>NO WFH</v>
      </c>
      <c r="V127" s="19" t="str" cm="1">
        <f t="array" ref="V127">IFERROR(_xlfn.IFS(N127="Very Good","15% inc1",N127="Good","12%inc",N127="Average","10%inc"),"Work hard")</f>
        <v>Work hard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4"/>
        <v>Keep</v>
      </c>
      <c r="R128" s="18" t="str">
        <f t="shared" si="5"/>
        <v>Not eligible</v>
      </c>
      <c r="S128" s="15" t="str" cm="1">
        <f t="array" ref="S128">IFERROR(_xlfn.IFS(P128&lt;40000,"Low",P128&gt;40000&amp;80000,"Medium",P128&gt;80000,"High"),"Not available")</f>
        <v>High</v>
      </c>
      <c r="T128" s="15" t="str">
        <f t="shared" si="6"/>
        <v>NO WFH</v>
      </c>
      <c r="U128" s="15" t="str">
        <f t="shared" si="7"/>
        <v>WFH</v>
      </c>
      <c r="V128" s="19" t="str" cm="1">
        <f t="array" ref="V128">IFERROR(_xlfn.IFS(N128="Very Good","15% inc1",N128="Good","12%inc",N128="Average","10%inc"),"Work hard")</f>
        <v>10%inc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4"/>
        <v>Keep</v>
      </c>
      <c r="R129" s="18" t="str">
        <f t="shared" si="5"/>
        <v>Not eligible</v>
      </c>
      <c r="S129" s="15" t="str" cm="1">
        <f t="array" ref="S129">IFERROR(_xlfn.IFS(P129&lt;40000,"Low",P129&gt;40000&amp;80000,"Medium",P129&gt;80000,"High"),"Not available")</f>
        <v>High</v>
      </c>
      <c r="T129" s="15" t="str">
        <f t="shared" si="6"/>
        <v>NO WFH</v>
      </c>
      <c r="U129" s="15" t="str">
        <f t="shared" si="7"/>
        <v>NO WFH</v>
      </c>
      <c r="V129" s="19" t="str" cm="1">
        <f t="array" ref="V129">IFERROR(_xlfn.IFS(N129="Very Good","15% inc1",N129="Good","12%inc",N129="Average","10%inc"),"Work hard")</f>
        <v>Work hard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4"/>
        <v>Keep</v>
      </c>
      <c r="R130" s="18" t="str">
        <f t="shared" si="5"/>
        <v>Not eligible</v>
      </c>
      <c r="S130" s="15" t="str" cm="1">
        <f t="array" ref="S130">IFERROR(_xlfn.IFS(P130&lt;40000,"Low",P130&gt;40000&amp;80000,"Medium",P130&gt;80000,"High"),"Not available")</f>
        <v>Not available</v>
      </c>
      <c r="T130" s="15" t="str">
        <f t="shared" si="6"/>
        <v>WFH</v>
      </c>
      <c r="U130" s="15" t="str">
        <f t="shared" si="7"/>
        <v>WFH</v>
      </c>
      <c r="V130" s="19" t="str" cm="1">
        <f t="array" ref="V130">IFERROR(_xlfn.IFS(N130="Very Good","15% inc1",N130="Good","12%inc",N130="Average","10%inc"),"Work hard")</f>
        <v>Work hard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4"/>
        <v>Terminate</v>
      </c>
      <c r="R131" s="18" t="str">
        <f t="shared" si="5"/>
        <v>Not eligible</v>
      </c>
      <c r="S131" s="15" t="str" cm="1">
        <f t="array" ref="S131">IFERROR(_xlfn.IFS(P131&lt;40000,"Low",P131&gt;40000&amp;80000,"Medium",P131&gt;80000,"High"),"Not available")</f>
        <v>High</v>
      </c>
      <c r="T131" s="15" t="str">
        <f t="shared" si="6"/>
        <v>NO WFH</v>
      </c>
      <c r="U131" s="15" t="str">
        <f t="shared" si="7"/>
        <v>WFH</v>
      </c>
      <c r="V131" s="19" t="str" cm="1">
        <f t="array" ref="V131">IFERROR(_xlfn.IFS(N131="Very Good","15% inc1",N131="Good","12%inc",N131="Average","10%inc"),"Work hard")</f>
        <v>Work hard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4"/>
        <v>Keep</v>
      </c>
      <c r="R132" s="18" t="str">
        <f t="shared" si="5"/>
        <v>Not eligible</v>
      </c>
      <c r="S132" s="15" t="str" cm="1">
        <f t="array" ref="S132">IFERROR(_xlfn.IFS(P132&lt;40000,"Low",P132&gt;40000&amp;80000,"Medium",P132&gt;80000,"High"),"Not available")</f>
        <v>Low</v>
      </c>
      <c r="T132" s="15" t="str">
        <f t="shared" si="6"/>
        <v>NO WFH</v>
      </c>
      <c r="U132" s="15" t="str">
        <f t="shared" si="7"/>
        <v>NO WFH</v>
      </c>
      <c r="V132" s="19" t="str" cm="1">
        <f t="array" ref="V132">IFERROR(_xlfn.IFS(N132="Very Good","15% inc1",N132="Good","12%inc",N132="Average","10%inc"),"Work hard")</f>
        <v>Work hard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8">IF(N133="Very Poor","Terminate","Keep")</f>
        <v>Keep</v>
      </c>
      <c r="R133" s="18" t="str">
        <f t="shared" ref="R133:R149" si="9">IF(N133="Very Good","5% Bonus","Not eligible")</f>
        <v>Not eligible</v>
      </c>
      <c r="S133" s="15" t="str" cm="1">
        <f t="array" ref="S133">IFERROR(_xlfn.IFS(P133&lt;40000,"Low",P133&gt;40000&amp;80000,"Medium",P133&gt;80000,"High"),"Not available")</f>
        <v>Not available</v>
      </c>
      <c r="T133" s="15" t="str">
        <f t="shared" ref="T133:T149" si="10">IF(AND(I133="Mumbai",L133="HR"),"WFH","NO WFH")</f>
        <v>NO WFH</v>
      </c>
      <c r="U133" s="15" t="str">
        <f t="shared" ref="U133:U149" si="11">IF(OR(L133="Finance",L133="HR"),"WFH","NO WFH")</f>
        <v>NO WFH</v>
      </c>
      <c r="V133" s="19" t="str" cm="1">
        <f t="array" ref="V133">IFERROR(_xlfn.IFS(N133="Very Good","15% inc1",N133="Good","12%inc",N133="Average","10%inc"),"Work hard")</f>
        <v>12%inc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8"/>
        <v>Keep</v>
      </c>
      <c r="R134" s="18" t="str">
        <f t="shared" si="9"/>
        <v>Not eligible</v>
      </c>
      <c r="S134" s="15" t="str" cm="1">
        <f t="array" ref="S134">IFERROR(_xlfn.IFS(P134&lt;40000,"Low",P134&gt;40000&amp;80000,"Medium",P134&gt;80000,"High"),"Not available")</f>
        <v>Not available</v>
      </c>
      <c r="T134" s="15" t="str">
        <f t="shared" si="10"/>
        <v>NO WFH</v>
      </c>
      <c r="U134" s="15" t="str">
        <f t="shared" si="11"/>
        <v>NO WFH</v>
      </c>
      <c r="V134" s="19" t="str" cm="1">
        <f t="array" ref="V134">IFERROR(_xlfn.IFS(N134="Very Good","15% inc1",N134="Good","12%inc",N134="Average","10%inc"),"Work hard")</f>
        <v>10%inc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8"/>
        <v>Keep</v>
      </c>
      <c r="R135" s="18" t="str">
        <f t="shared" si="9"/>
        <v>Not eligible</v>
      </c>
      <c r="S135" s="15" t="str" cm="1">
        <f t="array" ref="S135">IFERROR(_xlfn.IFS(P135&lt;40000,"Low",P135&gt;40000&amp;80000,"Medium",P135&gt;80000,"High"),"Not available")</f>
        <v>Not available</v>
      </c>
      <c r="T135" s="15" t="str">
        <f t="shared" si="10"/>
        <v>NO WFH</v>
      </c>
      <c r="U135" s="15" t="str">
        <f t="shared" si="11"/>
        <v>WFH</v>
      </c>
      <c r="V135" s="19" t="str" cm="1">
        <f t="array" ref="V135">IFERROR(_xlfn.IFS(N135="Very Good","15% inc1",N135="Good","12%inc",N135="Average","10%inc"),"Work hard")</f>
        <v>10%inc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8"/>
        <v>Keep</v>
      </c>
      <c r="R136" s="18" t="str">
        <f t="shared" si="9"/>
        <v>5% Bonus</v>
      </c>
      <c r="S136" s="15" t="str" cm="1">
        <f t="array" ref="S136">IFERROR(_xlfn.IFS(P136&lt;40000,"Low",P136&gt;40000&amp;80000,"Medium",P136&gt;80000,"High"),"Not available")</f>
        <v>Not available</v>
      </c>
      <c r="T136" s="15" t="str">
        <f t="shared" si="10"/>
        <v>NO WFH</v>
      </c>
      <c r="U136" s="15" t="str">
        <f t="shared" si="11"/>
        <v>WFH</v>
      </c>
      <c r="V136" s="19" t="str" cm="1">
        <f t="array" ref="V136">IFERROR(_xlfn.IFS(N136="Very Good","15% inc1",N136="Good","12%inc",N136="Average","10%inc"),"Work hard")</f>
        <v>15% inc1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8"/>
        <v>Keep</v>
      </c>
      <c r="R137" s="18" t="str">
        <f t="shared" si="9"/>
        <v>5% Bonus</v>
      </c>
      <c r="S137" s="15" t="str" cm="1">
        <f t="array" ref="S137">IFERROR(_xlfn.IFS(P137&lt;40000,"Low",P137&gt;40000&amp;80000,"Medium",P137&gt;80000,"High"),"Not available")</f>
        <v>High</v>
      </c>
      <c r="T137" s="15" t="str">
        <f t="shared" si="10"/>
        <v>NO WFH</v>
      </c>
      <c r="U137" s="15" t="str">
        <f t="shared" si="11"/>
        <v>NO WFH</v>
      </c>
      <c r="V137" s="19" t="str" cm="1">
        <f t="array" ref="V137">IFERROR(_xlfn.IFS(N137="Very Good","15% inc1",N137="Good","12%inc",N137="Average","10%inc"),"Work hard")</f>
        <v>15% inc1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8"/>
        <v>Keep</v>
      </c>
      <c r="R138" s="18" t="str">
        <f t="shared" si="9"/>
        <v>Not eligible</v>
      </c>
      <c r="S138" s="15" t="str" cm="1">
        <f t="array" ref="S138">IFERROR(_xlfn.IFS(P138&lt;40000,"Low",P138&gt;40000&amp;80000,"Medium",P138&gt;80000,"High"),"Not available")</f>
        <v>High</v>
      </c>
      <c r="T138" s="15" t="str">
        <f t="shared" si="10"/>
        <v>NO WFH</v>
      </c>
      <c r="U138" s="15" t="str">
        <f t="shared" si="11"/>
        <v>WFH</v>
      </c>
      <c r="V138" s="19" t="str" cm="1">
        <f t="array" ref="V138">IFERROR(_xlfn.IFS(N138="Very Good","15% inc1",N138="Good","12%inc",N138="Average","10%inc"),"Work hard")</f>
        <v>12%inc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8"/>
        <v>Keep</v>
      </c>
      <c r="R139" s="18" t="str">
        <f t="shared" si="9"/>
        <v>Not eligible</v>
      </c>
      <c r="S139" s="15" t="str" cm="1">
        <f t="array" ref="S139">IFERROR(_xlfn.IFS(P139&lt;40000,"Low",P139&gt;40000&amp;80000,"Medium",P139&gt;80000,"High"),"Not available")</f>
        <v>Low</v>
      </c>
      <c r="T139" s="15" t="str">
        <f t="shared" si="10"/>
        <v>NO WFH</v>
      </c>
      <c r="U139" s="15" t="str">
        <f t="shared" si="11"/>
        <v>NO WFH</v>
      </c>
      <c r="V139" s="19" t="str" cm="1">
        <f t="array" ref="V139">IFERROR(_xlfn.IFS(N139="Very Good","15% inc1",N139="Good","12%inc",N139="Average","10%inc"),"Work hard")</f>
        <v>Work hard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8"/>
        <v>Keep</v>
      </c>
      <c r="R140" s="18" t="str">
        <f t="shared" si="9"/>
        <v>Not eligible</v>
      </c>
      <c r="S140" s="15" t="str" cm="1">
        <f t="array" ref="S140">IFERROR(_xlfn.IFS(P140&lt;40000,"Low",P140&gt;40000&amp;80000,"Medium",P140&gt;80000,"High"),"Not available")</f>
        <v>High</v>
      </c>
      <c r="T140" s="15" t="str">
        <f t="shared" si="10"/>
        <v>NO WFH</v>
      </c>
      <c r="U140" s="15" t="str">
        <f t="shared" si="11"/>
        <v>NO WFH</v>
      </c>
      <c r="V140" s="19" t="str" cm="1">
        <f t="array" ref="V140">IFERROR(_xlfn.IFS(N140="Very Good","15% inc1",N140="Good","12%inc",N140="Average","10%inc"),"Work hard")</f>
        <v>Work hard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8"/>
        <v>Keep</v>
      </c>
      <c r="R141" s="18" t="str">
        <f t="shared" si="9"/>
        <v>Not eligible</v>
      </c>
      <c r="S141" s="15" t="str" cm="1">
        <f t="array" ref="S141">IFERROR(_xlfn.IFS(P141&lt;40000,"Low",P141&gt;40000&amp;80000,"Medium",P141&gt;80000,"High"),"Not available")</f>
        <v>High</v>
      </c>
      <c r="T141" s="15" t="str">
        <f t="shared" si="10"/>
        <v>NO WFH</v>
      </c>
      <c r="U141" s="15" t="str">
        <f t="shared" si="11"/>
        <v>WFH</v>
      </c>
      <c r="V141" s="19" t="str" cm="1">
        <f t="array" ref="V141">IFERROR(_xlfn.IFS(N141="Very Good","15% inc1",N141="Good","12%inc",N141="Average","10%inc"),"Work hard")</f>
        <v>12%inc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8"/>
        <v>Keep</v>
      </c>
      <c r="R142" s="18" t="str">
        <f t="shared" si="9"/>
        <v>Not eligible</v>
      </c>
      <c r="S142" s="15" t="str" cm="1">
        <f t="array" ref="S142">IFERROR(_xlfn.IFS(P142&lt;40000,"Low",P142&gt;40000&amp;80000,"Medium",P142&gt;80000,"High"),"Not available")</f>
        <v>High</v>
      </c>
      <c r="T142" s="15" t="str">
        <f t="shared" si="10"/>
        <v>NO WFH</v>
      </c>
      <c r="U142" s="15" t="str">
        <f t="shared" si="11"/>
        <v>NO WFH</v>
      </c>
      <c r="V142" s="19" t="str" cm="1">
        <f t="array" ref="V142">IFERROR(_xlfn.IFS(N142="Very Good","15% inc1",N142="Good","12%inc",N142="Average","10%inc"),"Work hard")</f>
        <v>Work hard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8"/>
        <v>Terminate</v>
      </c>
      <c r="R143" s="18" t="str">
        <f t="shared" si="9"/>
        <v>Not eligible</v>
      </c>
      <c r="S143" s="15" t="str" cm="1">
        <f t="array" ref="S143">IFERROR(_xlfn.IFS(P143&lt;40000,"Low",P143&gt;40000&amp;80000,"Medium",P143&gt;80000,"High"),"Not available")</f>
        <v>Not available</v>
      </c>
      <c r="T143" s="15" t="str">
        <f t="shared" si="10"/>
        <v>NO WFH</v>
      </c>
      <c r="U143" s="15" t="str">
        <f t="shared" si="11"/>
        <v>NO WFH</v>
      </c>
      <c r="V143" s="19" t="str" cm="1">
        <f t="array" ref="V143">IFERROR(_xlfn.IFS(N143="Very Good","15% inc1",N143="Good","12%inc",N143="Average","10%inc"),"Work hard")</f>
        <v>Work hard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8"/>
        <v>Keep</v>
      </c>
      <c r="R144" s="18" t="str">
        <f t="shared" si="9"/>
        <v>5% Bonus</v>
      </c>
      <c r="S144" s="15" t="str" cm="1">
        <f t="array" ref="S144">IFERROR(_xlfn.IFS(P144&lt;40000,"Low",P144&gt;40000&amp;80000,"Medium",P144&gt;80000,"High"),"Not available")</f>
        <v>High</v>
      </c>
      <c r="T144" s="15" t="str">
        <f t="shared" si="10"/>
        <v>NO WFH</v>
      </c>
      <c r="U144" s="15" t="str">
        <f t="shared" si="11"/>
        <v>NO WFH</v>
      </c>
      <c r="V144" s="19" t="str" cm="1">
        <f t="array" ref="V144">IFERROR(_xlfn.IFS(N144="Very Good","15% inc1",N144="Good","12%inc",N144="Average","10%inc"),"Work hard")</f>
        <v>15% inc1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8"/>
        <v>Keep</v>
      </c>
      <c r="R145" s="18" t="str">
        <f t="shared" si="9"/>
        <v>Not eligible</v>
      </c>
      <c r="S145" s="15" t="str" cm="1">
        <f t="array" ref="S145">IFERROR(_xlfn.IFS(P145&lt;40000,"Low",P145&gt;40000&amp;80000,"Medium",P145&gt;80000,"High"),"Not available")</f>
        <v>High</v>
      </c>
      <c r="T145" s="15" t="str">
        <f t="shared" si="10"/>
        <v>NO WFH</v>
      </c>
      <c r="U145" s="15" t="str">
        <f t="shared" si="11"/>
        <v>NO WFH</v>
      </c>
      <c r="V145" s="19" t="str" cm="1">
        <f t="array" ref="V145">IFERROR(_xlfn.IFS(N145="Very Good","15% inc1",N145="Good","12%inc",N145="Average","10%inc"),"Work hard")</f>
        <v>Work hard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8"/>
        <v>Keep</v>
      </c>
      <c r="R146" s="18" t="str">
        <f t="shared" si="9"/>
        <v>Not eligible</v>
      </c>
      <c r="S146" s="15" t="str" cm="1">
        <f t="array" ref="S146">IFERROR(_xlfn.IFS(P146&lt;40000,"Low",P146&gt;40000&amp;80000,"Medium",P146&gt;80000,"High"),"Not available")</f>
        <v>Not available</v>
      </c>
      <c r="T146" s="15" t="str">
        <f t="shared" si="10"/>
        <v>NO WFH</v>
      </c>
      <c r="U146" s="15" t="str">
        <f t="shared" si="11"/>
        <v>WFH</v>
      </c>
      <c r="V146" s="19" t="str" cm="1">
        <f t="array" ref="V146">IFERROR(_xlfn.IFS(N146="Very Good","15% inc1",N146="Good","12%inc",N146="Average","10%inc"),"Work hard")</f>
        <v>Work hard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8"/>
        <v>Keep</v>
      </c>
      <c r="R147" s="18" t="str">
        <f t="shared" si="9"/>
        <v>Not eligible</v>
      </c>
      <c r="S147" s="15" t="str" cm="1">
        <f t="array" ref="S147">IFERROR(_xlfn.IFS(P147&lt;40000,"Low",P147&gt;40000&amp;80000,"Medium",P147&gt;80000,"High"),"Not available")</f>
        <v>Low</v>
      </c>
      <c r="T147" s="15" t="str">
        <f t="shared" si="10"/>
        <v>NO WFH</v>
      </c>
      <c r="U147" s="15" t="str">
        <f t="shared" si="11"/>
        <v>NO WFH</v>
      </c>
      <c r="V147" s="19" t="str" cm="1">
        <f t="array" ref="V147">IFERROR(_xlfn.IFS(N147="Very Good","15% inc1",N147="Good","12%inc",N147="Average","10%inc"),"Work hard")</f>
        <v>Work hard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8"/>
        <v>Keep</v>
      </c>
      <c r="R148" s="18" t="str">
        <f t="shared" si="9"/>
        <v>Not eligible</v>
      </c>
      <c r="S148" s="15" t="str" cm="1">
        <f t="array" ref="S148">IFERROR(_xlfn.IFS(P148&lt;40000,"Low",P148&gt;40000&amp;80000,"Medium",P148&gt;80000,"High"),"Not available")</f>
        <v>High</v>
      </c>
      <c r="T148" s="15" t="str">
        <f t="shared" si="10"/>
        <v>NO WFH</v>
      </c>
      <c r="U148" s="15" t="str">
        <f t="shared" si="11"/>
        <v>WFH</v>
      </c>
      <c r="V148" s="19" t="str" cm="1">
        <f t="array" ref="V148">IFERROR(_xlfn.IFS(N148="Very Good","15% inc1",N148="Good","12%inc",N148="Average","10%inc"),"Work hard")</f>
        <v>10%inc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8"/>
        <v>Keep</v>
      </c>
      <c r="R149" s="18" t="str">
        <f t="shared" si="9"/>
        <v>Not eligible</v>
      </c>
      <c r="S149" s="15" t="str" cm="1">
        <f t="array" ref="S149">IFERROR(_xlfn.IFS(P149&lt;40000,"Low",P149&gt;40000&amp;80000,"Medium",P149&gt;80000,"High"),"Not available")</f>
        <v>High</v>
      </c>
      <c r="T149" s="15" t="str">
        <f t="shared" si="10"/>
        <v>WFH</v>
      </c>
      <c r="U149" s="15" t="str">
        <f t="shared" si="11"/>
        <v>WFH</v>
      </c>
      <c r="V149" s="19" t="str" cm="1">
        <f t="array" ref="V149">IFERROR(_xlfn.IFS(N149="Very Good","15% inc1",N149="Good","12%inc",N149="Average","10%inc"),"Work hard")</f>
        <v>Work hard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ABHIJITH G</cp:lastModifiedBy>
  <dcterms:created xsi:type="dcterms:W3CDTF">2021-07-08T13:51:18Z</dcterms:created>
  <dcterms:modified xsi:type="dcterms:W3CDTF">2026-06-10T11:55:20Z</dcterms:modified>
</cp:coreProperties>
</file>